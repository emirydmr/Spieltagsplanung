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Fußball\06 - BJSL\Saison 25-26\Input Studenten\"/>
    </mc:Choice>
  </mc:AlternateContent>
  <xr:revisionPtr revIDLastSave="0" documentId="8_{9877D0C5-7366-4B88-8B02-3C7E69D8A3C2}" xr6:coauthVersionLast="47" xr6:coauthVersionMax="47" xr10:uidLastSave="{00000000-0000-0000-0000-000000000000}"/>
  <bookViews>
    <workbookView xWindow="-120" yWindow="-120" windowWidth="29040" windowHeight="17640" tabRatio="807" activeTab="3" xr2:uid="{C8711E56-E7C9-40ED-9DE3-4FC19363CEE9}"/>
  </bookViews>
  <sheets>
    <sheet name="A-Junioren" sheetId="1" r:id="rId1"/>
    <sheet name="B-Junioren" sheetId="9" r:id="rId2"/>
    <sheet name="C-Junioren" sheetId="2" r:id="rId3"/>
    <sheet name="D-Junioren" sheetId="10" r:id="rId4"/>
    <sheet name="E-Junioren" sheetId="5" r:id="rId5"/>
    <sheet name="Tabelle1" sheetId="11" state="hidden" r:id="rId6"/>
  </sheets>
  <definedNames>
    <definedName name="_xlnm._FilterDatabase" localSheetId="2" hidden="1">'C-Junioren'!$A$3:$Y$3</definedName>
    <definedName name="_xlnm._FilterDatabase" localSheetId="3" hidden="1">'D-Junioren'!$P$7:$S$14</definedName>
    <definedName name="_xlnm.Print_Area" localSheetId="0">'A-Junioren'!$A$1:$N$36</definedName>
    <definedName name="_xlnm.Print_Area" localSheetId="1">'B-Junioren'!$A$1:$N$40</definedName>
    <definedName name="_xlnm.Print_Area" localSheetId="2">'C-Junioren'!$A$1:$N$55</definedName>
    <definedName name="_xlnm.Print_Area" localSheetId="3">'D-Junioren'!$A$1:$N$72</definedName>
    <definedName name="_xlnm.Print_Area" localSheetId="4">'E-Junioren'!$A$1:$N$92</definedName>
    <definedName name="_xlnm.Print_Titles" localSheetId="0">'A-Junioren'!$1:$2</definedName>
    <definedName name="_xlnm.Print_Titles" localSheetId="1">'B-Junioren'!$1:$2</definedName>
    <definedName name="_xlnm.Print_Titles" localSheetId="2">'C-Junioren'!$1:$2</definedName>
    <definedName name="_xlnm.Print_Titles" localSheetId="3">'D-Junioren'!$1:$2</definedName>
    <definedName name="_xlnm.Print_Titles" localSheetId="4">'E-Junioren'!$1:$2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0" l="1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D48" i="10" l="1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55" i="2" l="1"/>
  <c r="C55" i="2"/>
  <c r="D54" i="2"/>
  <c r="C54" i="2"/>
  <c r="D53" i="2"/>
  <c r="C53" i="2"/>
  <c r="D52" i="2"/>
  <c r="C52" i="2"/>
  <c r="D50" i="2"/>
  <c r="C50" i="2"/>
  <c r="D49" i="2"/>
  <c r="C49" i="2"/>
  <c r="D48" i="2"/>
  <c r="C48" i="2"/>
  <c r="D47" i="2"/>
  <c r="C47" i="2"/>
  <c r="N40" i="2"/>
  <c r="M40" i="2"/>
  <c r="N39" i="2"/>
  <c r="M39" i="2"/>
  <c r="N38" i="2"/>
  <c r="M38" i="2"/>
  <c r="N37" i="2"/>
  <c r="M37" i="2"/>
  <c r="N36" i="2"/>
  <c r="M36" i="2"/>
  <c r="N35" i="2"/>
  <c r="M35" i="2"/>
  <c r="N33" i="2"/>
  <c r="M33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D3" i="11" l="1"/>
  <c r="E3" i="11"/>
  <c r="H3" i="11"/>
  <c r="D4" i="11"/>
  <c r="E4" i="11"/>
  <c r="H4" i="11"/>
  <c r="D5" i="11"/>
  <c r="E5" i="11"/>
  <c r="H5" i="11"/>
  <c r="D6" i="11"/>
  <c r="E6" i="11"/>
  <c r="H6" i="11"/>
  <c r="D7" i="11"/>
  <c r="E7" i="11"/>
  <c r="H7" i="11"/>
  <c r="D8" i="11"/>
  <c r="E8" i="11"/>
  <c r="H8" i="11"/>
  <c r="D9" i="11"/>
  <c r="E9" i="11"/>
  <c r="H9" i="11"/>
  <c r="D10" i="11"/>
  <c r="E10" i="11"/>
  <c r="H10" i="11"/>
  <c r="D11" i="11"/>
  <c r="E11" i="11"/>
  <c r="H11" i="11"/>
  <c r="D12" i="11"/>
  <c r="E12" i="11"/>
  <c r="H12" i="11"/>
  <c r="D13" i="11"/>
  <c r="E13" i="11"/>
  <c r="H13" i="11"/>
  <c r="H2" i="11"/>
  <c r="E2" i="11"/>
  <c r="D2" i="11"/>
  <c r="I14" i="11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I69" i="10"/>
  <c r="H69" i="10"/>
  <c r="I68" i="10"/>
  <c r="H68" i="10"/>
  <c r="I67" i="10"/>
  <c r="H67" i="10"/>
  <c r="I66" i="10"/>
  <c r="H66" i="10"/>
  <c r="D71" i="10"/>
  <c r="C71" i="10"/>
  <c r="D70" i="10"/>
  <c r="C70" i="10"/>
  <c r="D69" i="10"/>
  <c r="C69" i="10"/>
  <c r="D68" i="10"/>
  <c r="C68" i="10"/>
  <c r="I65" i="10"/>
  <c r="H65" i="10"/>
  <c r="D67" i="10"/>
  <c r="C67" i="10"/>
  <c r="D66" i="10"/>
  <c r="C66" i="10"/>
  <c r="D64" i="10"/>
  <c r="C64" i="10"/>
  <c r="N59" i="10"/>
  <c r="M59" i="10"/>
  <c r="I64" i="10"/>
  <c r="H64" i="10"/>
  <c r="N58" i="10"/>
  <c r="M58" i="10"/>
  <c r="N57" i="10"/>
  <c r="M57" i="10"/>
  <c r="N56" i="10"/>
  <c r="M56" i="10"/>
  <c r="N55" i="10"/>
  <c r="M55" i="10"/>
  <c r="N54" i="10"/>
  <c r="M54" i="10"/>
  <c r="N52" i="10"/>
  <c r="M52" i="10"/>
  <c r="D65" i="10"/>
  <c r="C65" i="10"/>
  <c r="H14" i="11" l="1"/>
  <c r="E14" i="11"/>
  <c r="D14" i="11"/>
  <c r="H27" i="2" l="1"/>
  <c r="I27" i="2"/>
  <c r="H22" i="2"/>
  <c r="I22" i="2"/>
  <c r="T2" i="1"/>
  <c r="Y2" i="1"/>
  <c r="Y1" i="1"/>
  <c r="T1" i="1"/>
  <c r="M48" i="5"/>
  <c r="N48" i="5"/>
  <c r="T2" i="2" l="1"/>
  <c r="N19" i="9"/>
  <c r="N20" i="9"/>
  <c r="N21" i="9"/>
  <c r="N22" i="9"/>
  <c r="N23" i="9"/>
  <c r="N24" i="9"/>
  <c r="N25" i="9"/>
  <c r="N26" i="9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25" i="10"/>
  <c r="C25" i="10"/>
  <c r="N53" i="10"/>
  <c r="M53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Y5" i="10"/>
  <c r="T5" i="10"/>
  <c r="I5" i="10"/>
  <c r="H5" i="10"/>
  <c r="Y4" i="10"/>
  <c r="T4" i="10"/>
  <c r="Y3" i="10"/>
  <c r="T3" i="10"/>
  <c r="Y2" i="10"/>
  <c r="T2" i="10"/>
  <c r="Y1" i="10"/>
  <c r="T1" i="10"/>
  <c r="N91" i="5"/>
  <c r="M91" i="5"/>
  <c r="N90" i="5"/>
  <c r="M90" i="5"/>
  <c r="N89" i="5"/>
  <c r="M89" i="5"/>
  <c r="N88" i="5"/>
  <c r="M88" i="5"/>
  <c r="N87" i="5"/>
  <c r="M87" i="5"/>
  <c r="N86" i="5"/>
  <c r="M86" i="5"/>
  <c r="I91" i="5"/>
  <c r="H91" i="5"/>
  <c r="I90" i="5"/>
  <c r="H90" i="5"/>
  <c r="I89" i="5"/>
  <c r="H89" i="5"/>
  <c r="I88" i="5"/>
  <c r="H88" i="5"/>
  <c r="I87" i="5"/>
  <c r="H87" i="5"/>
  <c r="I86" i="5"/>
  <c r="H86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I70" i="5"/>
  <c r="H70" i="5"/>
  <c r="I69" i="5"/>
  <c r="H69" i="5"/>
  <c r="I68" i="5"/>
  <c r="H68" i="5"/>
  <c r="I67" i="5"/>
  <c r="H67" i="5"/>
  <c r="I66" i="5"/>
  <c r="H66" i="5"/>
  <c r="I65" i="5"/>
  <c r="H65" i="5"/>
  <c r="H64" i="5"/>
  <c r="I64" i="5"/>
  <c r="Y2" i="5"/>
  <c r="Y3" i="5"/>
  <c r="Y4" i="5"/>
  <c r="Y5" i="5"/>
  <c r="Y6" i="5"/>
  <c r="Y1" i="5"/>
  <c r="T6" i="5"/>
  <c r="T2" i="5"/>
  <c r="T3" i="5"/>
  <c r="T4" i="5"/>
  <c r="T5" i="5"/>
  <c r="T1" i="5"/>
  <c r="H42" i="2"/>
  <c r="I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Y2" i="9"/>
  <c r="T2" i="9"/>
  <c r="Y1" i="9"/>
  <c r="T1" i="9"/>
  <c r="G12" i="11" l="1"/>
  <c r="G9" i="11"/>
  <c r="G3" i="11"/>
  <c r="G6" i="11"/>
  <c r="G13" i="11"/>
  <c r="G7" i="11"/>
  <c r="G4" i="11"/>
  <c r="G10" i="11"/>
  <c r="G5" i="11"/>
  <c r="G8" i="11"/>
  <c r="G2" i="11"/>
  <c r="G11" i="11"/>
  <c r="D66" i="5"/>
  <c r="N57" i="5"/>
  <c r="I59" i="5"/>
  <c r="I53" i="5"/>
  <c r="D55" i="5"/>
  <c r="N45" i="5"/>
  <c r="I47" i="5"/>
  <c r="I41" i="5"/>
  <c r="D43" i="5"/>
  <c r="N33" i="5"/>
  <c r="I35" i="5"/>
  <c r="I29" i="5"/>
  <c r="D31" i="5"/>
  <c r="N21" i="5"/>
  <c r="I23" i="5"/>
  <c r="I17" i="5"/>
  <c r="D19" i="5"/>
  <c r="N9" i="5"/>
  <c r="I11" i="5"/>
  <c r="I5" i="5"/>
  <c r="C11" i="5"/>
  <c r="C48" i="5"/>
  <c r="M32" i="5"/>
  <c r="M20" i="5"/>
  <c r="C18" i="5"/>
  <c r="D12" i="5"/>
  <c r="I8" i="5"/>
  <c r="M42" i="5"/>
  <c r="M30" i="5"/>
  <c r="H20" i="5"/>
  <c r="D8" i="5"/>
  <c r="I55" i="5"/>
  <c r="D45" i="5"/>
  <c r="D33" i="5"/>
  <c r="N11" i="5"/>
  <c r="C68" i="5"/>
  <c r="M47" i="5"/>
  <c r="H43" i="5"/>
  <c r="M29" i="5"/>
  <c r="M17" i="5"/>
  <c r="M5" i="5"/>
  <c r="N58" i="5"/>
  <c r="N46" i="5"/>
  <c r="D44" i="5"/>
  <c r="N22" i="5"/>
  <c r="I12" i="5"/>
  <c r="M58" i="5"/>
  <c r="M46" i="5"/>
  <c r="H30" i="5"/>
  <c r="C20" i="5"/>
  <c r="D10" i="5"/>
  <c r="C66" i="5"/>
  <c r="M57" i="5"/>
  <c r="H59" i="5"/>
  <c r="H53" i="5"/>
  <c r="C55" i="5"/>
  <c r="M45" i="5"/>
  <c r="H47" i="5"/>
  <c r="H41" i="5"/>
  <c r="C43" i="5"/>
  <c r="M33" i="5"/>
  <c r="H35" i="5"/>
  <c r="H29" i="5"/>
  <c r="C31" i="5"/>
  <c r="M21" i="5"/>
  <c r="H23" i="5"/>
  <c r="H17" i="5"/>
  <c r="C19" i="5"/>
  <c r="M9" i="5"/>
  <c r="H11" i="5"/>
  <c r="H5" i="5"/>
  <c r="D11" i="5"/>
  <c r="C65" i="5"/>
  <c r="M44" i="5"/>
  <c r="H34" i="5"/>
  <c r="C30" i="5"/>
  <c r="C24" i="5"/>
  <c r="H10" i="5"/>
  <c r="N12" i="5"/>
  <c r="C58" i="5"/>
  <c r="C46" i="5"/>
  <c r="M24" i="5"/>
  <c r="M6" i="5"/>
  <c r="D68" i="5"/>
  <c r="N47" i="5"/>
  <c r="N35" i="5"/>
  <c r="N23" i="5"/>
  <c r="N5" i="5"/>
  <c r="M59" i="5"/>
  <c r="M41" i="5"/>
  <c r="M35" i="5"/>
  <c r="M23" i="5"/>
  <c r="M11" i="5"/>
  <c r="I42" i="5"/>
  <c r="D32" i="5"/>
  <c r="D20" i="5"/>
  <c r="C10" i="5"/>
  <c r="C56" i="5"/>
  <c r="C44" i="5"/>
  <c r="C32" i="5"/>
  <c r="M10" i="5"/>
  <c r="D65" i="5"/>
  <c r="N56" i="5"/>
  <c r="I58" i="5"/>
  <c r="D54" i="5"/>
  <c r="N44" i="5"/>
  <c r="I46" i="5"/>
  <c r="D48" i="5"/>
  <c r="D42" i="5"/>
  <c r="N32" i="5"/>
  <c r="I34" i="5"/>
  <c r="D36" i="5"/>
  <c r="D30" i="5"/>
  <c r="N20" i="5"/>
  <c r="I22" i="5"/>
  <c r="D24" i="5"/>
  <c r="D18" i="5"/>
  <c r="N8" i="5"/>
  <c r="I10" i="5"/>
  <c r="C6" i="5"/>
  <c r="C12" i="5"/>
  <c r="M56" i="5"/>
  <c r="H58" i="5"/>
  <c r="C54" i="5"/>
  <c r="H46" i="5"/>
  <c r="C42" i="5"/>
  <c r="C36" i="5"/>
  <c r="H22" i="5"/>
  <c r="M8" i="5"/>
  <c r="D6" i="5"/>
  <c r="N6" i="5"/>
  <c r="M54" i="5"/>
  <c r="M36" i="5"/>
  <c r="M18" i="5"/>
  <c r="H8" i="5"/>
  <c r="D57" i="5"/>
  <c r="I31" i="5"/>
  <c r="I19" i="5"/>
  <c r="C9" i="5"/>
  <c r="C57" i="5"/>
  <c r="H19" i="5"/>
  <c r="D9" i="5"/>
  <c r="I54" i="5"/>
  <c r="I36" i="5"/>
  <c r="I24" i="5"/>
  <c r="C67" i="5"/>
  <c r="H48" i="5"/>
  <c r="H36" i="5"/>
  <c r="H24" i="5"/>
  <c r="H6" i="5"/>
  <c r="D70" i="5"/>
  <c r="D64" i="5"/>
  <c r="N55" i="5"/>
  <c r="I57" i="5"/>
  <c r="D59" i="5"/>
  <c r="D53" i="5"/>
  <c r="N43" i="5"/>
  <c r="I45" i="5"/>
  <c r="D47" i="5"/>
  <c r="D41" i="5"/>
  <c r="N31" i="5"/>
  <c r="I33" i="5"/>
  <c r="D35" i="5"/>
  <c r="D29" i="5"/>
  <c r="N19" i="5"/>
  <c r="I21" i="5"/>
  <c r="D23" i="5"/>
  <c r="D17" i="5"/>
  <c r="N7" i="5"/>
  <c r="I9" i="5"/>
  <c r="C7" i="5"/>
  <c r="D5" i="5"/>
  <c r="N54" i="5"/>
  <c r="D58" i="5"/>
  <c r="N42" i="5"/>
  <c r="D46" i="5"/>
  <c r="N36" i="5"/>
  <c r="I32" i="5"/>
  <c r="N18" i="5"/>
  <c r="D22" i="5"/>
  <c r="C69" i="5"/>
  <c r="H32" i="5"/>
  <c r="M12" i="5"/>
  <c r="N53" i="5"/>
  <c r="I43" i="5"/>
  <c r="N29" i="5"/>
  <c r="N17" i="5"/>
  <c r="I7" i="5"/>
  <c r="M53" i="5"/>
  <c r="C45" i="5"/>
  <c r="C33" i="5"/>
  <c r="C21" i="5"/>
  <c r="D67" i="5"/>
  <c r="I48" i="5"/>
  <c r="N34" i="5"/>
  <c r="I18" i="5"/>
  <c r="I6" i="5"/>
  <c r="H54" i="5"/>
  <c r="M34" i="5"/>
  <c r="M22" i="5"/>
  <c r="H12" i="5"/>
  <c r="C70" i="5"/>
  <c r="C64" i="5"/>
  <c r="M55" i="5"/>
  <c r="H57" i="5"/>
  <c r="C59" i="5"/>
  <c r="C53" i="5"/>
  <c r="M43" i="5"/>
  <c r="H45" i="5"/>
  <c r="C47" i="5"/>
  <c r="C41" i="5"/>
  <c r="M31" i="5"/>
  <c r="H33" i="5"/>
  <c r="C35" i="5"/>
  <c r="C29" i="5"/>
  <c r="M19" i="5"/>
  <c r="H21" i="5"/>
  <c r="C23" i="5"/>
  <c r="C17" i="5"/>
  <c r="M7" i="5"/>
  <c r="H9" i="5"/>
  <c r="D7" i="5"/>
  <c r="C5" i="5"/>
  <c r="D69" i="5"/>
  <c r="I56" i="5"/>
  <c r="I44" i="5"/>
  <c r="N30" i="5"/>
  <c r="D34" i="5"/>
  <c r="N24" i="5"/>
  <c r="I20" i="5"/>
  <c r="C8" i="5"/>
  <c r="H56" i="5"/>
  <c r="H44" i="5"/>
  <c r="C34" i="5"/>
  <c r="C22" i="5"/>
  <c r="N59" i="5"/>
  <c r="N41" i="5"/>
  <c r="D21" i="5"/>
  <c r="H55" i="5"/>
  <c r="H31" i="5"/>
  <c r="H7" i="5"/>
  <c r="D56" i="5"/>
  <c r="I30" i="5"/>
  <c r="N10" i="5"/>
  <c r="H42" i="5"/>
  <c r="H18" i="5"/>
  <c r="Y2" i="2"/>
  <c r="Y1" i="2"/>
  <c r="T1" i="2"/>
  <c r="D25" i="2"/>
  <c r="C25" i="2"/>
  <c r="D24" i="2"/>
  <c r="C24" i="2"/>
  <c r="D23" i="2"/>
  <c r="C23" i="2"/>
  <c r="D22" i="2"/>
  <c r="C22" i="2"/>
  <c r="N26" i="2"/>
  <c r="M26" i="2"/>
  <c r="N25" i="2"/>
  <c r="M25" i="2"/>
  <c r="N23" i="2"/>
  <c r="M23" i="2"/>
  <c r="N22" i="2"/>
  <c r="M22" i="2"/>
  <c r="N21" i="2"/>
  <c r="M21" i="2"/>
  <c r="N20" i="2"/>
  <c r="M20" i="2"/>
  <c r="N19" i="2"/>
  <c r="M19" i="2"/>
  <c r="I26" i="2"/>
  <c r="H26" i="2"/>
  <c r="I25" i="2"/>
  <c r="H25" i="2"/>
  <c r="I24" i="2"/>
  <c r="H24" i="2"/>
  <c r="I21" i="2"/>
  <c r="H21" i="2"/>
  <c r="I20" i="2"/>
  <c r="H20" i="2"/>
  <c r="I19" i="2"/>
  <c r="H19" i="2"/>
  <c r="D21" i="2"/>
  <c r="C21" i="2"/>
  <c r="D20" i="2"/>
  <c r="C20" i="2"/>
  <c r="D19" i="2"/>
  <c r="C19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D5" i="2"/>
  <c r="C5" i="2"/>
  <c r="F5" i="11" s="1"/>
  <c r="H6" i="2"/>
  <c r="F11" i="11" s="1"/>
  <c r="I6" i="2"/>
  <c r="H7" i="2"/>
  <c r="F4" i="11" s="1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I5" i="2"/>
  <c r="H5" i="2"/>
  <c r="B4" i="11" l="1"/>
  <c r="G14" i="11"/>
  <c r="B5" i="11"/>
  <c r="B11" i="11"/>
  <c r="F7" i="11"/>
  <c r="B7" i="11" s="1"/>
  <c r="F12" i="11"/>
  <c r="B12" i="11" s="1"/>
  <c r="F3" i="11"/>
  <c r="B3" i="11" s="1"/>
  <c r="F6" i="11"/>
  <c r="B6" i="11" s="1"/>
  <c r="F2" i="11"/>
  <c r="B2" i="11" s="1"/>
  <c r="F8" i="11"/>
  <c r="B8" i="11" s="1"/>
  <c r="F9" i="11"/>
  <c r="B9" i="11" s="1"/>
  <c r="F10" i="11"/>
  <c r="B10" i="11" s="1"/>
  <c r="F13" i="11"/>
  <c r="B13" i="11" s="1"/>
  <c r="F14" i="11" l="1"/>
  <c r="B14" i="11"/>
</calcChain>
</file>

<file path=xl/sharedStrings.xml><?xml version="1.0" encoding="utf-8"?>
<sst xmlns="http://schemas.openxmlformats.org/spreadsheetml/2006/main" count="2873" uniqueCount="567">
  <si>
    <t>SL: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</si>
  <si>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</si>
  <si>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</si>
  <si>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</si>
  <si>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</si>
  <si>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</si>
  <si>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</si>
  <si>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</si>
  <si>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</si>
  <si>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</si>
  <si>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</si>
  <si>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SGM TSV Pfedelbach/Jugendteam TSV I</t>
  </si>
  <si>
    <t>TV Flein I</t>
  </si>
  <si>
    <t>SC Michelbach/Wald</t>
  </si>
  <si>
    <t>SGM TSG Waldenburg/TSV Neuenstein I</t>
  </si>
  <si>
    <t>SGM VfB Neuhütten/Wüstenrot/Neulautern</t>
  </si>
  <si>
    <t>TSG Öhringen</t>
  </si>
  <si>
    <t>1. FC Igersheim I</t>
  </si>
  <si>
    <t>SGM FC Creglingen/Oberes Taubertal</t>
  </si>
  <si>
    <t>SV Mulfingen</t>
  </si>
  <si>
    <t>TV Niederstetten</t>
  </si>
  <si>
    <t>VfB Bad Mergentheim</t>
  </si>
  <si>
    <t>SGM SV Ingersheim/SSV Stimpfach</t>
  </si>
  <si>
    <t>TSG Kirchberg/Jagst</t>
  </si>
  <si>
    <t>TSV Crailsheim</t>
  </si>
  <si>
    <t>SGM TSV Michelbach/Bilz/SV Westheim/SV Rieden I</t>
  </si>
  <si>
    <t>SGM TSV Pfedelbach/Jugendteam TSV II</t>
  </si>
  <si>
    <t>SGM TSV Kupferzell/Gaisbach/Ingelfingen</t>
  </si>
  <si>
    <t>SGM TSV Schwabbach/Brettachtal</t>
  </si>
  <si>
    <t>SGM TSV Schrozberg / Gammesfeld / Bartenstein</t>
  </si>
  <si>
    <t>FSV Friedrichshaller SV</t>
  </si>
  <si>
    <t>SGM TSV Hardthausen KoBra</t>
  </si>
  <si>
    <t>SGM TSV Hessental/TSV Sulzdorf</t>
  </si>
  <si>
    <t>TSV Ilshofen</t>
  </si>
  <si>
    <t>SGM TSV Ingelfingen/Gaisbach/Kupferzell</t>
  </si>
  <si>
    <t>SGM TSV Neuenstein/Waldenburg</t>
  </si>
  <si>
    <t>SGM Bühlerzell/Bühlertann</t>
  </si>
  <si>
    <t>SGM Hengstfeld/Rot am See/Brettheim</t>
  </si>
  <si>
    <t>SGM SV Wachbach/Althausen Neunkirchen</t>
  </si>
  <si>
    <t>SGM TSV Bitzfeld/Brettachtal I</t>
  </si>
  <si>
    <t>VfB Bad Mergentheim I</t>
  </si>
  <si>
    <t>SGM TSV Neuenstein/Waldenburg I</t>
  </si>
  <si>
    <t>TSG Bretzfeld-Rappach</t>
  </si>
  <si>
    <t>SGM TSV Ingelfingen/Nagelsberg I</t>
  </si>
  <si>
    <t>SGM TSV Zweiflingen/Ohrnberg I</t>
  </si>
  <si>
    <t>SSV Gaisbach I</t>
  </si>
  <si>
    <t>TSV Kupferzell I</t>
  </si>
  <si>
    <t>SGM SV Wachbach/TSV Althausen-Neunkirchen I</t>
  </si>
  <si>
    <t>SGM FC Creglingen/Bieberehren I</t>
  </si>
  <si>
    <t>SGM TSV Pfedelbach/Jugendteam TSV III</t>
  </si>
  <si>
    <t>Spvgg Oedheim I</t>
  </si>
  <si>
    <t>SSV Schwäbisch Hall</t>
  </si>
  <si>
    <t>Spvgg Oedheim II</t>
  </si>
  <si>
    <t>TSV Weinsberg</t>
  </si>
  <si>
    <t>SGM Ellhofen Sulmtal</t>
  </si>
  <si>
    <t>TSV Untergruppenbach</t>
  </si>
  <si>
    <t>VfL Obereisesheim</t>
  </si>
  <si>
    <t>SC Böckingen</t>
  </si>
  <si>
    <t>Aramäer Heilbronn</t>
  </si>
  <si>
    <t>SG Bad Wimpfen I</t>
  </si>
  <si>
    <t>TSG Heilbronn</t>
  </si>
  <si>
    <t>SG Bad Wimpfen II</t>
  </si>
  <si>
    <t>SGM Oedheim Kochertal I</t>
  </si>
  <si>
    <t>SGM VfL Eberstadt EbErG</t>
  </si>
  <si>
    <t>SGM FV Wüstenrot/Neuhütten/Neulautern</t>
  </si>
  <si>
    <t>SGM Lehrensteinsfeld</t>
  </si>
  <si>
    <t>TV Flein II</t>
  </si>
  <si>
    <t>SGM SG Stetten-Kleingartach/Oberes Leintal</t>
  </si>
  <si>
    <t>SV Leingarten</t>
  </si>
  <si>
    <t>TG Böckingen I</t>
  </si>
  <si>
    <t>SGM Gründelhardt-Oberspeltach/Honhardt/Obersontheim/Vellberg</t>
  </si>
  <si>
    <t>SGM FSV Schwaigern/Oberes Leintal II</t>
  </si>
  <si>
    <t>SV Heilbronn am Leinbach I</t>
  </si>
  <si>
    <t>SV Leingarten II</t>
  </si>
  <si>
    <t>TG Böckingen</t>
  </si>
  <si>
    <t>TSG Heilbronn II</t>
  </si>
  <si>
    <t>FSV Friedrichshaller SV I</t>
  </si>
  <si>
    <t>SV Heilbronn am Leinbach III</t>
  </si>
  <si>
    <t>TSG Heilbronn I</t>
  </si>
  <si>
    <t>TSV Heinsheim</t>
  </si>
  <si>
    <t>VfL Obereisesheim I</t>
  </si>
  <si>
    <t>FSV Friedrichshaller SV II</t>
  </si>
  <si>
    <t>SGM Neuenstadt</t>
  </si>
  <si>
    <t>SGM Spvgg Möckmühl Unteres Jagsttal I</t>
  </si>
  <si>
    <t>SGM Tiefenbach H-U-T-H</t>
  </si>
  <si>
    <t>SV Heilbronn am Leinbach II</t>
  </si>
  <si>
    <t>SGM FSV Schwaigern/Oberes Leintal I</t>
  </si>
  <si>
    <t>Spfr Lauffen</t>
  </si>
  <si>
    <t>SV Leingarten I</t>
  </si>
  <si>
    <t>TSV Talheim</t>
  </si>
  <si>
    <t>SSV Auenstein</t>
  </si>
  <si>
    <t>FSV Schwaigern I</t>
  </si>
  <si>
    <t>Sport-Union Neckarsulm I</t>
  </si>
  <si>
    <t>FC Kirchhausen</t>
  </si>
  <si>
    <t>SC Amorbach II</t>
  </si>
  <si>
    <t>SGM Neuenstadt I</t>
  </si>
  <si>
    <t>TG Böckingen II</t>
  </si>
  <si>
    <t>SC Amorbach I</t>
  </si>
  <si>
    <t>SGM Gundelsheim Krumme Ebene am Neckar II</t>
  </si>
  <si>
    <t>SGM Neuenstadt II</t>
  </si>
  <si>
    <t>SGM Untergriesheim H-U-T-H I</t>
  </si>
  <si>
    <t>SGM Gundelsheim Krumme Ebene am Neckar I</t>
  </si>
  <si>
    <t>SGM Untergriesheim H-U-T-H II</t>
  </si>
  <si>
    <t>Sport-Union Neckarsulm II</t>
  </si>
  <si>
    <t>SV Heilbronn am Leinbach IV</t>
  </si>
  <si>
    <t>TSV Biberach</t>
  </si>
  <si>
    <t>TSV Weinsberg I</t>
  </si>
  <si>
    <t>VfL Obereisesheim II</t>
  </si>
  <si>
    <t>TGV Eintracht Beilstein I</t>
  </si>
  <si>
    <t>TSV Weinsberg II</t>
  </si>
  <si>
    <t>SGM Cleebronn/Botenheim/Eibensbach/Stockheim I</t>
  </si>
  <si>
    <t>FSV Schwaigern II</t>
  </si>
  <si>
    <t>SGM Cleebronn/Botenheim/Eibensbach/Stockheim II</t>
  </si>
  <si>
    <t>SGM Nordheim Unteres Zabergäu I</t>
  </si>
  <si>
    <t>Franz Schmitt</t>
  </si>
  <si>
    <t>Karl Ruck</t>
  </si>
  <si>
    <t>Andreas Leitner</t>
  </si>
  <si>
    <t>Alexander Ergenzinger</t>
  </si>
  <si>
    <t>Michael Schmelzle</t>
  </si>
  <si>
    <t>Bernhard Nied</t>
  </si>
  <si>
    <t>Reiner Falk</t>
  </si>
  <si>
    <t>ASV Heilbronn I</t>
  </si>
  <si>
    <t>VfR Heilbronn 96/18</t>
  </si>
  <si>
    <t>SC Oberes Zabergäu I</t>
  </si>
  <si>
    <t>SGM TSV Meimsheim I</t>
  </si>
  <si>
    <t>Aramäer Heilbronn I</t>
  </si>
  <si>
    <t>ASV Heilbronn II</t>
  </si>
  <si>
    <t>Aramäer Heilbronn II</t>
  </si>
  <si>
    <t>SC Amorbach III</t>
  </si>
  <si>
    <t>TG Böckingen III</t>
  </si>
  <si>
    <t>TSG Heilbronn III</t>
  </si>
  <si>
    <t>SC Dahenfeld</t>
  </si>
  <si>
    <t>SGM Neudenau/Siglingen I</t>
  </si>
  <si>
    <t>SGM TSV Brettach KoBra I</t>
  </si>
  <si>
    <t>Spvgg Möckmühl I</t>
  </si>
  <si>
    <t>TSV Erlenbach I</t>
  </si>
  <si>
    <t>SGM Neudenau/Siglingen II</t>
  </si>
  <si>
    <t>Spvgg Möckmühl II</t>
  </si>
  <si>
    <t>FSV Friedrichshaller SV III</t>
  </si>
  <si>
    <t>FC Obersulm I</t>
  </si>
  <si>
    <t>SC Ilsfeld I</t>
  </si>
  <si>
    <t>SGM Eberstadt/Gellmersbach I</t>
  </si>
  <si>
    <t>TSV Löwenstein</t>
  </si>
  <si>
    <t>SGM SC Abstatt Heinriet I</t>
  </si>
  <si>
    <t>Spfr Neckarwestheim I</t>
  </si>
  <si>
    <t>SV Sülzbach I</t>
  </si>
  <si>
    <t>TSV Ellhofen I</t>
  </si>
  <si>
    <t>Spfr Neckarwestheim II</t>
  </si>
  <si>
    <t>TGV Eintracht Beilstein II</t>
  </si>
  <si>
    <t>FC Obersulm II</t>
  </si>
  <si>
    <t>SC Amorbach IV</t>
  </si>
  <si>
    <t>SC Ilsfeld II</t>
  </si>
  <si>
    <t>SV Sülzbach II</t>
  </si>
  <si>
    <t>TSV Ellhofen II</t>
  </si>
  <si>
    <t>Spfr Lauffen I</t>
  </si>
  <si>
    <t>SGM Bonfeld/Fürfeld/Obergimpern I</t>
  </si>
  <si>
    <t>Spfr Lauffen II</t>
  </si>
  <si>
    <t>TSV Pfaffenhofen</t>
  </si>
  <si>
    <t>SC Oberes Zabergäu II</t>
  </si>
  <si>
    <t>SGM Nordheim Unteres Zabergäu II</t>
  </si>
  <si>
    <t>SGM TSV Meimsheim II</t>
  </si>
  <si>
    <t>SV Leingarten III</t>
  </si>
  <si>
    <t>TV Flein III</t>
  </si>
  <si>
    <t>SGM Bonfeld/Fürfeld/Obergimpern II</t>
  </si>
  <si>
    <t>SGM Cleebronn/Botenheim/Eibensbach/Stockheim III</t>
  </si>
  <si>
    <t>SGM TSV Meimsheim III</t>
  </si>
  <si>
    <t>SV Leingarten IV</t>
  </si>
  <si>
    <t>Q</t>
  </si>
  <si>
    <t>Punkte</t>
  </si>
  <si>
    <t>A-Junioren Leistungsstaffel 1</t>
  </si>
  <si>
    <t>Unterland</t>
  </si>
  <si>
    <t>Hohenlohe</t>
  </si>
  <si>
    <t>A-Junioren Kreisstaffel 2</t>
  </si>
  <si>
    <t>B-Junioren Leistungsstaffel 1</t>
  </si>
  <si>
    <t>B-Junioren Leistungsstaffel 2</t>
  </si>
  <si>
    <t>B-Junioren Kreisstaffel 1</t>
  </si>
  <si>
    <t>B-Junioren Kreisstaffel 2</t>
  </si>
  <si>
    <t>SGM TSV Ohrnberg / Zweiflingen</t>
  </si>
  <si>
    <t>SGM VfL Mainhardt/Juniorteam MMB II</t>
  </si>
  <si>
    <t>B-Junioren Kreisstaffel 6</t>
  </si>
  <si>
    <t>B-Junioren Kreisstaffel 4</t>
  </si>
  <si>
    <t>SG Bad Wimpfen</t>
  </si>
  <si>
    <t>SGM Dürrenzimmern Unteres Zabergäu</t>
  </si>
  <si>
    <t>SGM Neuenstadt Kochertal</t>
  </si>
  <si>
    <t>SGM Kirchhausen</t>
  </si>
  <si>
    <t>SGM TSV Meimsheim Neckar/Zabergäu</t>
  </si>
  <si>
    <t>SGM Cleebronn/Botenheim/Eibensbach/Stockheim</t>
  </si>
  <si>
    <t>SC Böckingen (flex)</t>
  </si>
  <si>
    <t>C-Junioren Leistungsstaffel 1</t>
  </si>
  <si>
    <t>C-Junioren Leistungsstaffel 2</t>
  </si>
  <si>
    <t>SGM SSV Gaisbach/Kupferzell/Ingelfingen II</t>
  </si>
  <si>
    <t>TSV Gaildorf (flex)</t>
  </si>
  <si>
    <t>SGM TSV Michelbach/Bilz/SV Westheim/SV Rieden II (flex)</t>
  </si>
  <si>
    <t>D-Junioren Bezirksstaffel 1</t>
  </si>
  <si>
    <t>D-Junioren Bezirksstaffel 2</t>
  </si>
  <si>
    <t>D-Junioren Leistungsstaffel 1</t>
  </si>
  <si>
    <t>D-Junioren Leistungsstaffel 2</t>
  </si>
  <si>
    <t>SGM SSV Gaisbach/TSVKupferzell/TSV Ingelfingen I</t>
  </si>
  <si>
    <t>SGM FC Creglingen/Bieberehren/Röttingen/Taubertal (flex)</t>
  </si>
  <si>
    <t>neu</t>
  </si>
  <si>
    <t>A-Junioren Leistungsstaffel 2</t>
  </si>
  <si>
    <t>SGM Ellhofen Sulmtal (flex)</t>
  </si>
  <si>
    <t>SC Amorbach</t>
  </si>
  <si>
    <t>C-Junioren Kreisstaffel 1</t>
  </si>
  <si>
    <t>C-Junioren Kreisstaffel 2</t>
  </si>
  <si>
    <t>C-Junioren Kreisstaffel 3</t>
  </si>
  <si>
    <t>C-Junioren Kreisstaffel 4</t>
  </si>
  <si>
    <t>C-Junioren Kreisstaffel 5</t>
  </si>
  <si>
    <t>C-Junioren Kreisstaffel 6</t>
  </si>
  <si>
    <t>C-Junioren Kreisstaffel 7</t>
  </si>
  <si>
    <t>E-Junioren Kreisstaffel 01</t>
  </si>
  <si>
    <t>E-Junioren Kreisstaffel 02</t>
  </si>
  <si>
    <t>E-Junioren Kreisstaffel 03</t>
  </si>
  <si>
    <t>E-Junioren Kreisstaffel 04</t>
  </si>
  <si>
    <t>E-Junioren Kreisstaffel 05</t>
  </si>
  <si>
    <t>E-Junioren Kreisstaffel 06</t>
  </si>
  <si>
    <t>E-Junioren Kreisstaffel 07</t>
  </si>
  <si>
    <t>E-Junioren Kreisstaffel 08</t>
  </si>
  <si>
    <t>E-Junioren Kreisstaffel 09</t>
  </si>
  <si>
    <t>E-Junioren Kreisstaffel 10</t>
  </si>
  <si>
    <t>E-Junioren Kreisstaffel 11</t>
  </si>
  <si>
    <t>E-Junioren Kreisstaffel 12</t>
  </si>
  <si>
    <t>E-Junioren Kreisstaffel 13</t>
  </si>
  <si>
    <t>E-Junioren Kreisstaffel 14</t>
  </si>
  <si>
    <t>E-Junioren Kreisstaffel 15</t>
  </si>
  <si>
    <t>E-Junioren Kreisstaffel 16</t>
  </si>
  <si>
    <t>E-Junioren Kreisstaffel 17</t>
  </si>
  <si>
    <t>E-Junioren Kreisstaffel 18</t>
  </si>
  <si>
    <t>E-Junioren Kreisstaffel 19</t>
  </si>
  <si>
    <t>E-Junioren Kreisstaffel 20</t>
  </si>
  <si>
    <t>E-Junioren Kreisstaffel 21</t>
  </si>
  <si>
    <t>E-Junioren Kreisstaffel 22</t>
  </si>
  <si>
    <t>SGM Sülzbach Sulmtal I</t>
  </si>
  <si>
    <t>SGM Spvgg Möckmühl Unteres Jagsttal II</t>
  </si>
  <si>
    <t>SGM Sülzbach Sulmtal II</t>
  </si>
  <si>
    <t>SGM Oedheim/Dahenfeld II</t>
  </si>
  <si>
    <t>SGM VfL Brackenheim II</t>
  </si>
  <si>
    <t>SGM Ilsfeld-Abstatt-Heinriet ABI II</t>
  </si>
  <si>
    <t>SGM MassenbachHausen II</t>
  </si>
  <si>
    <t>SGM MassenbachHausen I</t>
  </si>
  <si>
    <t>VfR Heilbronn 96/18 II</t>
  </si>
  <si>
    <t>SGM Ilsfeld-Abstatt-Heinriet ABI I</t>
  </si>
  <si>
    <t>SGM VfL Brackenheim I</t>
  </si>
  <si>
    <t>VfR Heilbronn 96/18 I</t>
  </si>
  <si>
    <t>SGM Oedheim/Dahenfeld I</t>
  </si>
  <si>
    <t>VfR Heilbronn 96/18 III</t>
  </si>
  <si>
    <t>ASV Heilbronn</t>
  </si>
  <si>
    <t>SGM SSV Gaisbach/TSV Kupferzell/TSV Ingelfingen II</t>
  </si>
  <si>
    <t>1. FC Igersheim</t>
  </si>
  <si>
    <t>SGM TSV Bitzfeld/Brettachtal II</t>
  </si>
  <si>
    <t>SGM TSV Neuenstein/Waldenburg II</t>
  </si>
  <si>
    <t>VfB Bad Mergentheim II</t>
  </si>
  <si>
    <t>TV Niederstetten II</t>
  </si>
  <si>
    <t>SGM TSV Ingelfingen/Nagelsberg II</t>
  </si>
  <si>
    <t>TSV Kupferzell II</t>
  </si>
  <si>
    <t>SSV Gaisbach II</t>
  </si>
  <si>
    <t>SGM TSV Zweiflingen/Ohrnberg II</t>
  </si>
  <si>
    <t>SGM VfR Gommersdorf/TSV Krautheim II</t>
  </si>
  <si>
    <t>SGM SV Wachbach/TSV Althausen-Neunkirchen II</t>
  </si>
  <si>
    <t>SGM FC Creglingen/Bieberehren II</t>
  </si>
  <si>
    <t>1. FC Igersheim II</t>
  </si>
  <si>
    <t>TSG Verrenberg</t>
  </si>
  <si>
    <t>SSV Auenstein I</t>
  </si>
  <si>
    <t>SGM Spfr. Widdern / SV Jagsthausen I</t>
  </si>
  <si>
    <t>TGV Eintracht Beilstein III</t>
  </si>
  <si>
    <t>TGV Eintracht Beilstein IV</t>
  </si>
  <si>
    <t>Vorschlag Einteilung Rückrunde A-Junioren 2025/2026</t>
  </si>
  <si>
    <t>SC Steinbach</t>
  </si>
  <si>
    <t>SGM SSV Schwäbisch Hall/Tura Untermünkheim</t>
  </si>
  <si>
    <t>SGM Vellberg/Obersontheim/Gründelh.-Operspeltach/Honhardt</t>
  </si>
  <si>
    <t>SGM Sulzdorf/Hessental</t>
  </si>
  <si>
    <t>SGM VfB Bad Mergentheim /1. FC Igersheim</t>
  </si>
  <si>
    <t>SGM Dünsbach/Blaufelden/Gerabronn/Billingsbach</t>
  </si>
  <si>
    <t>SGM SC Abstatt/Beilstein/Ilsfeld/Heinriet ABI</t>
  </si>
  <si>
    <t>SGM Lehrensteinsfeld (flex)</t>
  </si>
  <si>
    <t>SGM Höchstberg H-U-T-H I</t>
  </si>
  <si>
    <t>SGM Obergriesheim Krumme Ebene am Neckar</t>
  </si>
  <si>
    <t>TSG Heilbronn zg.</t>
  </si>
  <si>
    <t>SGM SV Berlichingen/Schöntal/Mittleres Kochertal</t>
  </si>
  <si>
    <t>SGM VfR Gommersdorf/Mittleres Jagsttal II (flex) zg.</t>
  </si>
  <si>
    <t>SGM Eutendorf/Ottendorf</t>
  </si>
  <si>
    <t>SGM Oberrot/Rottal (flex)</t>
  </si>
  <si>
    <t>SGM VfR Altenmünster/SV Onolzheim (flex)</t>
  </si>
  <si>
    <t>SGM Weikersheim Vorbach-Tauber</t>
  </si>
  <si>
    <t>TV Niederstetten (flex)</t>
  </si>
  <si>
    <t>SGM TSV Niederhofen/Oberes Leintal (flex)</t>
  </si>
  <si>
    <t>SV Heilbronn am Leinbach (flex)</t>
  </si>
  <si>
    <t>SGM Oberes Zabergäu/Mühlbach/Sulzfeld</t>
  </si>
  <si>
    <t>SGM Neckarwestheim/Talheim II</t>
  </si>
  <si>
    <t>SGM Höchstberg H-U-T-H II (flex)</t>
  </si>
  <si>
    <t>SGM Bonfeld/Fürfeld/Obergimpern (flex)</t>
  </si>
  <si>
    <t>keine Teilnahme Leistungsstaffel (Verzicht / flex)</t>
  </si>
  <si>
    <t>LS</t>
  </si>
  <si>
    <t>KS</t>
  </si>
  <si>
    <t>Rückzug</t>
  </si>
  <si>
    <t>Vorschlag Einteilung Rückrunde B-Junioren 2025/2026</t>
  </si>
  <si>
    <t>SGM TSV Neudenau Unteres Jagsttal I</t>
  </si>
  <si>
    <t>SC Amorbach zg.</t>
  </si>
  <si>
    <t>SV Schluchtern U17</t>
  </si>
  <si>
    <t>SGM TGV Eintracht Beilstein/Abstatt/Ilsfeld/Heinriet ABI</t>
  </si>
  <si>
    <t>SGM SG Stetten-Kleingartach/Oberes Leintal I</t>
  </si>
  <si>
    <t>SGM Hausen Unteres Zabergäu I</t>
  </si>
  <si>
    <t>SGM Spfr. Lauffen Neckar/Zabergäu</t>
  </si>
  <si>
    <t>SGM Obersulm (flex)</t>
  </si>
  <si>
    <t>SGM Eibensbach/Cleebronn/Botenheim/Stockheim II</t>
  </si>
  <si>
    <t>SGM SG Stetten-Kleingartach/Oberes Leintal II (flex)</t>
  </si>
  <si>
    <t>SGM Hausen Unteres Zabergäu II (flex)</t>
  </si>
  <si>
    <t>TSV Talheim (flex)</t>
  </si>
  <si>
    <t>SGM Union Heilbronn / TSN 1969 II</t>
  </si>
  <si>
    <t>SGM TSV Neudenau Unteres Jagsttal II (flex)</t>
  </si>
  <si>
    <t>SGM Oedheim Kochertal II (flex)</t>
  </si>
  <si>
    <t>SGM TSV Brettach KoBra (flex)</t>
  </si>
  <si>
    <t>keine Teilnahme Leistungsstaffel 
(Verzicht / flex / rückv. Spieler)</t>
  </si>
  <si>
    <t>B-Junioren Kreisstaffel 3</t>
  </si>
  <si>
    <t>SGM SpVgg Gammesfeld/Schrozberg/Bartenstein</t>
  </si>
  <si>
    <t>SGM SV Wachbach/TSV Althausen-Neunkirchen (flex)</t>
  </si>
  <si>
    <t>SGM SV Westernhausen/ Schöntal</t>
  </si>
  <si>
    <t>SGM TSV Niedernhall I / Kickers Mittleres Kochertal</t>
  </si>
  <si>
    <t>SGM TSV Schwabbach/Brettachtal (flex)</t>
  </si>
  <si>
    <t>SGM VfL Mainhardt/Juniorteam MMB I</t>
  </si>
  <si>
    <t>SGM SV Westheim / TSV Michelbach-Bilz / SV Rieden</t>
  </si>
  <si>
    <t>SGM Ottendorf / Eutendorf / SG Rottal</t>
  </si>
  <si>
    <t>TSV Gaildorf (flex) zg.</t>
  </si>
  <si>
    <t>SGM VfR Altenmünster/SV Onolzheim</t>
  </si>
  <si>
    <t>SGM FC Langenburg/Blaufelden/Braunsbach/Dünsbach I</t>
  </si>
  <si>
    <t>SV Tüngental</t>
  </si>
  <si>
    <t>SGM Westgartshausen/ Tiefenbach/Kressberg/Goldbach/Satteldorf</t>
  </si>
  <si>
    <t>TSV Ilshofen (flex)</t>
  </si>
  <si>
    <t>SGM FC Matzenbach/TSV Unterdeufstetten (flex)</t>
  </si>
  <si>
    <t>TSG Kirchberg/Jagst (flex)</t>
  </si>
  <si>
    <t>SGM FC Langenburg/Blaufelden/Braunsbach/Dünsbach II</t>
  </si>
  <si>
    <t>SGM VfB Neuhütten/Wüstenrot/Neulautern (flex)</t>
  </si>
  <si>
    <t>SGM TSV Niedernhall II / Kickers Mittleres Kochertal (flex)</t>
  </si>
  <si>
    <t>SGM FV Künzelsau/SV Morsbach/SC Amrichshausen (flex)</t>
  </si>
  <si>
    <t>SGM Heinsheim/Sommerberg</t>
  </si>
  <si>
    <t>SGM Gundelsheim Krumme Ebene am Neckar</t>
  </si>
  <si>
    <t>SGM Dahenfeld/Oedheim I</t>
  </si>
  <si>
    <t>SGM Willsbach I</t>
  </si>
  <si>
    <t>SGM TSV Erlenbach EbErG I</t>
  </si>
  <si>
    <t>SGM TSV Meimsheim Zabergäu</t>
  </si>
  <si>
    <t>SGM SC Ilsfeld/Abstatt/Beilstein/Heinriet ABI I</t>
  </si>
  <si>
    <t>TV Flein</t>
  </si>
  <si>
    <t>SGM Pfaffenhofen / Oberes Zabergäu</t>
  </si>
  <si>
    <t>SV Mulfingen (flex)</t>
  </si>
  <si>
    <t>SGM TSV Althausen-Neunkirchen/SV Wachbach</t>
  </si>
  <si>
    <t>SGM Weikersheim Vorbach-Tauber (flex)</t>
  </si>
  <si>
    <t>SGM Billingsbach / Blaufelden / Wiesenbach</t>
  </si>
  <si>
    <t>SGM TSV Weißbach I / Kickers Mittleres Kochertal</t>
  </si>
  <si>
    <t>SGM DJK-TSV Bieringen/Schöntal</t>
  </si>
  <si>
    <t>SGM TSV Zweiflingen/Ohrnberg</t>
  </si>
  <si>
    <t>SGM FV Künzelsau / SV Morsbach / SC Amrichshausen</t>
  </si>
  <si>
    <t>Spfr Schwäbisch Hall II</t>
  </si>
  <si>
    <t>SGM TSV Sulzdorf/TSV Hessental I</t>
  </si>
  <si>
    <t>SSV Schwäbisch Hall I</t>
  </si>
  <si>
    <t>SGM Fichtenberg/Rottal</t>
  </si>
  <si>
    <t>TSV Gaildorf</t>
  </si>
  <si>
    <t>SGM Obersontheim/Vellberg/Gründelhardt/Honhardt I</t>
  </si>
  <si>
    <t>SGM Rot am See/Brettheim/Hengstfeld</t>
  </si>
  <si>
    <t>SGM TSV Gerabronn/Dünsbach/Langenburg</t>
  </si>
  <si>
    <t>TSG Kirchberg/Jagst I</t>
  </si>
  <si>
    <t>SGM SpVgg Gammesfeld/Bartenstein/Schrozberg</t>
  </si>
  <si>
    <t>SGM Westgartshausen/Kressberg/Goldbach (flex)</t>
  </si>
  <si>
    <t>Vorschlag Einteilung Rückrunde C-Junioren 2025/2026</t>
  </si>
  <si>
    <t>SGM MassenbachHausen (flex)</t>
  </si>
  <si>
    <t>SGM Nordhausen Unteres Zabergäu</t>
  </si>
  <si>
    <t>SGM Botenheim/Cleebronn/Eibensbach/Stockheim II (flex)</t>
  </si>
  <si>
    <t>SGM Güglingen/Frauenzimmern (flex)</t>
  </si>
  <si>
    <t>Aramäer Heilbronn (flex)</t>
  </si>
  <si>
    <t>SGM Auenstein/Untergruppenbach</t>
  </si>
  <si>
    <t>SGM Union Heilbronn / TSN 1969 III (flex)</t>
  </si>
  <si>
    <t>SGM Löwenstein Sulmtal</t>
  </si>
  <si>
    <t>SGM TSV Erlenbach EbErG II (flex)</t>
  </si>
  <si>
    <t>SGM Dahenfeld/Oedheim II (flex)</t>
  </si>
  <si>
    <t>SGM Willsbach II (flex)</t>
  </si>
  <si>
    <t>SGM TSV Weißbach II / Kickers Mittleres Kochertal</t>
  </si>
  <si>
    <t>SGM TSG Waldenburg/TSV Neuenstein II (flex)</t>
  </si>
  <si>
    <t>TSV Braunsbach</t>
  </si>
  <si>
    <t>SSV Schwäbisch Hall II</t>
  </si>
  <si>
    <t>SGM TSV Pfedelbach/Jugendteam TSV II (flex)</t>
  </si>
  <si>
    <t>SGM Obersontheim/Vellberg/Gründelhardt/Honhardt II</t>
  </si>
  <si>
    <t>SGM Bühlertann/Bühlerzell II</t>
  </si>
  <si>
    <t>SpVgg Satteldorf II</t>
  </si>
  <si>
    <t>SGM TSV Sulzdorf/TSV Hessental II (flex)</t>
  </si>
  <si>
    <t>TSG Kirchberg/Jagst II (flex)</t>
  </si>
  <si>
    <t>Vorschlag Einteilung Rückrunde D-Junioren 2025/2026</t>
  </si>
  <si>
    <t>SGM Union Heilbronn / TSN 1969 I</t>
  </si>
  <si>
    <t>SC Amorbach I (U13)</t>
  </si>
  <si>
    <t>SGM Bachenau Krumme Ebene am Neckar</t>
  </si>
  <si>
    <t>SGM VfL Eberstadt</t>
  </si>
  <si>
    <t>Spfr. Lauffen I</t>
  </si>
  <si>
    <t>SGM TSV Ohrnberg / Zweiflingen I</t>
  </si>
  <si>
    <t>TSG Öhringen I</t>
  </si>
  <si>
    <t>SGM TSV Waldbach/Brettachtal I</t>
  </si>
  <si>
    <t>SGM TG Forchtenberg II / Kickers Mittleres Kochertal</t>
  </si>
  <si>
    <t>SGM TG Forchtenberg I / Kickers Mittleres Kochertal</t>
  </si>
  <si>
    <t>SGM Krautheim/Mittleres Jagsttal I</t>
  </si>
  <si>
    <t>SGM DJK-TSV Bieringen/Schöntal I</t>
  </si>
  <si>
    <t>FV Künzelsau I</t>
  </si>
  <si>
    <t>SGM Weikersheim Vorbach-Tauber I</t>
  </si>
  <si>
    <t>TV Niederstetten I</t>
  </si>
  <si>
    <t>SGM Taubertal/Röttingen</t>
  </si>
  <si>
    <t>Talentrunde</t>
  </si>
  <si>
    <t>xxx</t>
  </si>
  <si>
    <t>xxxxxxxxxxxxxxxxxxxxxxxxxxxxxxxxxxxxxxxxxxxxx</t>
  </si>
  <si>
    <t>xxxxxx</t>
  </si>
  <si>
    <t>xxxx</t>
  </si>
  <si>
    <t>SC Amorbach II (U12)</t>
  </si>
  <si>
    <t>SGM Union Heilbronn / TSN 1969 III</t>
  </si>
  <si>
    <t>SGM Neudenau/Siglingen</t>
  </si>
  <si>
    <t>Sport-Union Neckarsulm III</t>
  </si>
  <si>
    <t>SGM Willsbach II</t>
  </si>
  <si>
    <t>Spfr. Lauffen II</t>
  </si>
  <si>
    <t>SSV Klingenberg</t>
  </si>
  <si>
    <t>SGM Weikersheim Vorbach-Tauber II</t>
  </si>
  <si>
    <t>SGM Amrichshausen/Morsbach/Nagelsberg</t>
  </si>
  <si>
    <t>SGM TG Forchtenberg III / Kickers Mittleres Kochertal</t>
  </si>
  <si>
    <t>SGM DJK-TSV Bieringen/Schöntal II</t>
  </si>
  <si>
    <t>SGM TSV Ohrnberg / Zweiflingen II</t>
  </si>
  <si>
    <t>SGM Krautheim/Mittleres Jagsttal II</t>
  </si>
  <si>
    <t>SC Michelbach/Wald I</t>
  </si>
  <si>
    <t>SGM TSV Waldbach/Brettachtal II</t>
  </si>
  <si>
    <t>TSG Öhringen II</t>
  </si>
  <si>
    <t>SGM Krautheim/Mittleres Jagsttal III</t>
  </si>
  <si>
    <t>SC Michelbach/Wald II</t>
  </si>
  <si>
    <t>FV Künzelsau II</t>
  </si>
  <si>
    <t>SGM TG Forchtenberg IV / Kickers Mittleres Kochertal</t>
  </si>
  <si>
    <t>C-Junioren Kreisstaffel 8</t>
  </si>
  <si>
    <t>SV Heilbronn am Leinbach</t>
  </si>
  <si>
    <t>SGM Bühlerzell/Bühlertann (flex)</t>
  </si>
  <si>
    <t>SV Heilbronn am Leinbach II (flex)</t>
  </si>
  <si>
    <t>Änderung Mannschaftsstärke zur Rückrunde</t>
  </si>
  <si>
    <t>SGM SC Bibersfeld / Juniorteam MMB II (flex)</t>
  </si>
  <si>
    <t>SpVgg Satteldorf II (flex)</t>
  </si>
  <si>
    <t>SGM TSV Zweiflingen/Ohrnberg (flex)</t>
  </si>
  <si>
    <t>SGM Obersontheim/Vellberg/Gründelhardt/Honhardt II (flex)</t>
  </si>
  <si>
    <t>SGM Kirchhausen (flex)</t>
  </si>
  <si>
    <t>BS</t>
  </si>
  <si>
    <t>SGM Güglingen / Frauenzimmern I (7er)</t>
  </si>
  <si>
    <t>SGM Güglingen / Frauenzimmern II (7er)</t>
  </si>
  <si>
    <t>TSV Heinsheim (7er)</t>
  </si>
  <si>
    <t>SV Leingarten III (7er)</t>
  </si>
  <si>
    <t>TSV Erlenbach II (7er)</t>
  </si>
  <si>
    <t>SGM Spfr Widdern / SV Jagsthausen (7er)</t>
  </si>
  <si>
    <t>SGM TSV Brettach KoBra II (7er)</t>
  </si>
  <si>
    <t>SGM Oberes Zabergäu/Pfaffenhofen (7er)</t>
  </si>
  <si>
    <t>KS7er</t>
  </si>
  <si>
    <t>KS1</t>
  </si>
  <si>
    <t>KS2</t>
  </si>
  <si>
    <t>SG Bad Wimpfen III (7er)</t>
  </si>
  <si>
    <t>SGM Güglingen / Frauenzimmern I</t>
  </si>
  <si>
    <t>SGM Güglingen / Frauenzimmern II</t>
  </si>
  <si>
    <t>1x6</t>
  </si>
  <si>
    <t>KS3</t>
  </si>
  <si>
    <t>4x8</t>
  </si>
  <si>
    <t>D-Junioren Kreisstaffel 01</t>
  </si>
  <si>
    <t>D-Junioren Kreisstaffel 02</t>
  </si>
  <si>
    <t>D-Junioren Kreisstaffel 03</t>
  </si>
  <si>
    <t>D-Junioren Kreisstaffel 04</t>
  </si>
  <si>
    <t>D-Junioren Kreisstaffel 05</t>
  </si>
  <si>
    <t>D-Junioren Kreisstaffel 06</t>
  </si>
  <si>
    <t>D-Junioren Kreisstaffel 07</t>
  </si>
  <si>
    <t>D-Junioren Kreisstaffel 08</t>
  </si>
  <si>
    <t>D-Junioren Kreisstaffel 09</t>
  </si>
  <si>
    <t>D-Junioren Kreisstaffel 10</t>
  </si>
  <si>
    <t>Vorschlag Einteilung Rückrunde E-Junioren 2025/2026</t>
  </si>
  <si>
    <t>TG Offenau I</t>
  </si>
  <si>
    <t/>
  </si>
  <si>
    <t>SGM TSV Hardthausen KoBra I</t>
  </si>
  <si>
    <t>TSV Talheim I</t>
  </si>
  <si>
    <t>FC Kirchhausen I</t>
  </si>
  <si>
    <t>TSV Duttenberg I</t>
  </si>
  <si>
    <t>SGM TSV Hardthausen KoBra II</t>
  </si>
  <si>
    <t>Spvgg Möckmühl III</t>
  </si>
  <si>
    <t>TSV Erlenbach II</t>
  </si>
  <si>
    <t>TG Offenau II</t>
  </si>
  <si>
    <t>SGM TSV Hardthausen KoBra III</t>
  </si>
  <si>
    <t>SGM SC Abstatt Heinriet II</t>
  </si>
  <si>
    <t>TSV Talheim II</t>
  </si>
  <si>
    <t>SSV Auenstein II</t>
  </si>
  <si>
    <t>TSV Biberach II</t>
  </si>
  <si>
    <t>TSG Heilbronn IV</t>
  </si>
  <si>
    <t>SGM TSV Meimsheim IV</t>
  </si>
  <si>
    <t>SGM Cleebronn/Botenheim/Eibensbach/Stockheim IV</t>
  </si>
  <si>
    <t>TSV Biberach I</t>
  </si>
  <si>
    <t>SGM SG Stetten-Kleingartach/Oberes Leintal II</t>
  </si>
  <si>
    <t>SGM Güglingen / Frauenzimmern</t>
  </si>
  <si>
    <t>TSG Heilbronn V zg.</t>
  </si>
  <si>
    <t>TG Böckingen IV</t>
  </si>
  <si>
    <t>NK Croatia Heilbronn</t>
  </si>
  <si>
    <t>SGM SV Edelfingen/SV Oberbalbach/DJK Unterbalbach I</t>
  </si>
  <si>
    <t>SGM Röttingen/Taubertal</t>
  </si>
  <si>
    <t>SGM VfR Gommersdorf/TSV Krautheim I</t>
  </si>
  <si>
    <t>SGM Dörzbach/Klepsau/Hohebach I</t>
  </si>
  <si>
    <t>SGM Sindringen/Ernsbach I - Kickers Mittleres Kochertal</t>
  </si>
  <si>
    <t>SGM Amrichshausen/Morsbach</t>
  </si>
  <si>
    <t>SGM SV Edelfingen/SV Oberbalbach/DJK Unterbalbach II</t>
  </si>
  <si>
    <t>SGM Dörzbach/Klepsau/Hohebach II</t>
  </si>
  <si>
    <t>SGM SV Wachbach/TSV Althausen-Neunkirchen III</t>
  </si>
  <si>
    <t>SGM FC Creglingen/Bieberehren</t>
  </si>
  <si>
    <t>1. FC Igersheim III</t>
  </si>
  <si>
    <t>SGM SV Edelfingen/SV Oberbalbach/DJK Unterbalbach III</t>
  </si>
  <si>
    <t>SGM Weikersheim Vorbach-Tauber III</t>
  </si>
  <si>
    <t>SGM Sindringen/Ernsbach II - Kickers Mittleres Kochertal</t>
  </si>
  <si>
    <t>SGM Sindringen/Ernsbach III - Kickers Mittleres Kochertal</t>
  </si>
  <si>
    <t>SGM Eberstadt/Gellmersbach II</t>
  </si>
  <si>
    <t>SGM TSV Zweiflingen/Ohrnberg III</t>
  </si>
  <si>
    <t>SGM DJK-TSV Bieringen/Schöntal III</t>
  </si>
  <si>
    <t>KS1-1</t>
  </si>
  <si>
    <t>KS2-2</t>
  </si>
  <si>
    <t>KS1-2</t>
  </si>
  <si>
    <t>KS1-3</t>
  </si>
  <si>
    <t>KS2-1</t>
  </si>
  <si>
    <t>KS2-3</t>
  </si>
  <si>
    <t>SC Amorbach V</t>
  </si>
  <si>
    <t>Spfr Lauffen III</t>
  </si>
  <si>
    <t>SGM Sindringen / Ernsbach IV - Kickers Mittleres Kochertal</t>
  </si>
  <si>
    <t>TSV Duttenberg II</t>
  </si>
  <si>
    <t>ASV Heilbronn III</t>
  </si>
  <si>
    <t>ASV Heilbronn IV</t>
  </si>
  <si>
    <t>E-Junioren Kreisstaffel 23</t>
  </si>
  <si>
    <t>E-Junioren Kreisstaffel 24</t>
  </si>
  <si>
    <r>
      <t xml:space="preserve">A-Junioren Kreisstaffel 1 </t>
    </r>
    <r>
      <rPr>
        <sz val="16"/>
        <color theme="1"/>
        <rFont val="Arial Narrow"/>
        <family val="2"/>
      </rPr>
      <t>(Doppelrunde)</t>
    </r>
  </si>
  <si>
    <r>
      <t xml:space="preserve">A-Junioren Kreisstaffel 3 </t>
    </r>
    <r>
      <rPr>
        <sz val="16"/>
        <color theme="1"/>
        <rFont val="Arial Narrow"/>
        <family val="2"/>
      </rPr>
      <t>(Doppelrunde)</t>
    </r>
  </si>
  <si>
    <r>
      <t xml:space="preserve">A-Junioren Kreisstaffel 4 </t>
    </r>
    <r>
      <rPr>
        <sz val="16"/>
        <color theme="1"/>
        <rFont val="Arial Narrow"/>
        <family val="2"/>
      </rPr>
      <t>(Doppelrunde)</t>
    </r>
  </si>
  <si>
    <r>
      <t xml:space="preserve">B-Junioren Kreisstaffel 5 </t>
    </r>
    <r>
      <rPr>
        <sz val="16"/>
        <color theme="1"/>
        <rFont val="Arial Narrow"/>
        <family val="2"/>
      </rPr>
      <t>(Doppelrunde)</t>
    </r>
  </si>
  <si>
    <t>Christian Reuter</t>
  </si>
  <si>
    <t>D-Junioren Kreisstaffel 12</t>
  </si>
  <si>
    <t>stärkste Kreisstaffel</t>
  </si>
  <si>
    <t>SGM Neuenstadt III</t>
  </si>
  <si>
    <t>SGM Sindringen/Ernsbach IV - Kickers Mittleres Kochertal</t>
  </si>
  <si>
    <t>Peter Parys-Allweiler</t>
  </si>
  <si>
    <t>Dieter Schaaf</t>
  </si>
  <si>
    <t>Ewald Blind</t>
  </si>
  <si>
    <t>A</t>
  </si>
  <si>
    <t>B</t>
  </si>
  <si>
    <t>C</t>
  </si>
  <si>
    <t>D</t>
  </si>
  <si>
    <t>E</t>
  </si>
  <si>
    <t>Mädchen</t>
  </si>
  <si>
    <t>Josef Kohnle</t>
  </si>
  <si>
    <t>RS</t>
  </si>
  <si>
    <t>Stand: 31.12.25</t>
  </si>
  <si>
    <t>qs1</t>
  </si>
  <si>
    <t>qs2</t>
  </si>
  <si>
    <t>qs3</t>
  </si>
  <si>
    <t>qs4</t>
  </si>
  <si>
    <t>qs5</t>
  </si>
  <si>
    <t>qs6</t>
  </si>
  <si>
    <t>qs7</t>
  </si>
  <si>
    <t>qs8</t>
  </si>
  <si>
    <t>qs9</t>
  </si>
  <si>
    <t>qs10</t>
  </si>
  <si>
    <t>qs11</t>
  </si>
  <si>
    <t>qs12</t>
  </si>
  <si>
    <t>ks q1</t>
  </si>
  <si>
    <t>ks q2</t>
  </si>
  <si>
    <t>ks q3</t>
  </si>
  <si>
    <t>ks q7</t>
  </si>
  <si>
    <t>ks q4</t>
  </si>
  <si>
    <t>ks q5</t>
  </si>
  <si>
    <t>ks q6</t>
  </si>
  <si>
    <t>1/4/6/8</t>
  </si>
  <si>
    <t>7/2/4/5</t>
  </si>
  <si>
    <t>8/1/6</t>
  </si>
  <si>
    <t>D-Junioren Kreisstaffel 11</t>
  </si>
  <si>
    <t>SGM VfB Neuhütten/Wüstenrot/Neulautern II ?</t>
  </si>
  <si>
    <t>Stand: 07.01.26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</si>
</sst>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u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28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14"/>
      <color rgb="FF0070C0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sz val="14"/>
      <name val="Arial Narrow"/>
      <family val="2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strike/>
      <sz val="14"/>
      <color theme="1"/>
      <name val="Arial Narrow"/>
      <family val="2"/>
    </font>
    <font>
      <strike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sz val="12"/>
      <color rgb="FF0070C0"/>
      <name val="Arial Narrow"/>
      <family val="2"/>
    </font>
    <font>
      <b/>
      <u/>
      <sz val="12"/>
      <color theme="1"/>
      <name val="Arial Narrow"/>
      <family val="2"/>
    </font>
    <font>
      <sz val="12"/>
      <color theme="0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shrinkToFit="1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2" fontId="1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shrinkToFit="1"/>
    </xf>
    <xf numFmtId="2" fontId="1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 shrinkToFit="1"/>
    </xf>
    <xf numFmtId="2" fontId="4" fillId="0" borderId="0" xfId="0" applyNumberFormat="1" applyFont="1"/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2" fontId="5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shrinkToFit="1"/>
    </xf>
    <xf numFmtId="0" fontId="3" fillId="0" borderId="0" xfId="0" applyFont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shrinkToFit="1"/>
    </xf>
    <xf numFmtId="0" fontId="8" fillId="0" borderId="0" xfId="0" applyFont="1" applyAlignment="1">
      <alignment vertical="center" shrinkToFit="1"/>
    </xf>
    <xf numFmtId="0" fontId="5" fillId="0" borderId="1" xfId="0" applyFont="1" applyBorder="1" applyAlignment="1">
      <alignment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 shrinkToFit="1"/>
    </xf>
    <xf numFmtId="0" fontId="5" fillId="0" borderId="10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/>
    <xf numFmtId="0" fontId="17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2" fontId="2" fillId="0" borderId="0" xfId="0" applyNumberFormat="1" applyFont="1"/>
    <xf numFmtId="0" fontId="11" fillId="0" borderId="0" xfId="0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2" fontId="2" fillId="0" borderId="0" xfId="0" applyNumberFormat="1" applyFont="1" applyAlignment="1">
      <alignment vertical="center" shrinkToFit="1"/>
    </xf>
    <xf numFmtId="2" fontId="17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shrinkToFit="1"/>
    </xf>
    <xf numFmtId="2" fontId="2" fillId="0" borderId="4" xfId="0" applyNumberFormat="1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wrapText="1"/>
    </xf>
    <xf numFmtId="2" fontId="4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2" fillId="3" borderId="0" xfId="0" applyFont="1" applyFill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 shrinkToFit="1"/>
    </xf>
    <xf numFmtId="0" fontId="13" fillId="4" borderId="10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 shrinkToFit="1"/>
    </xf>
    <xf numFmtId="0" fontId="5" fillId="3" borderId="3" xfId="0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 shrinkToFit="1"/>
    </xf>
    <xf numFmtId="0" fontId="12" fillId="4" borderId="10" xfId="0" applyFont="1" applyFill="1" applyBorder="1" applyAlignment="1">
      <alignment vertical="center" shrinkToFit="1"/>
    </xf>
    <xf numFmtId="0" fontId="2" fillId="3" borderId="0" xfId="0" applyFont="1" applyFill="1" applyAlignment="1">
      <alignment vertical="center" shrinkToFit="1"/>
    </xf>
    <xf numFmtId="0" fontId="18" fillId="4" borderId="0" xfId="0" applyFont="1" applyFill="1" applyAlignment="1">
      <alignment vertical="center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 shrinkToFit="1"/>
    </xf>
    <xf numFmtId="2" fontId="5" fillId="0" borderId="2" xfId="0" applyNumberFormat="1" applyFont="1" applyBorder="1" applyAlignment="1">
      <alignment horizontal="center" vertical="center" shrinkToFit="1"/>
    </xf>
    <xf numFmtId="2" fontId="5" fillId="0" borderId="4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2" fontId="5" fillId="0" borderId="6" xfId="0" applyNumberFormat="1" applyFont="1" applyBorder="1" applyAlignment="1">
      <alignment horizontal="center" vertical="center" shrinkToFit="1"/>
    </xf>
    <xf numFmtId="0" fontId="12" fillId="4" borderId="10" xfId="0" applyFont="1" applyFill="1" applyBorder="1" applyAlignment="1">
      <alignment horizontal="center" vertical="center" shrinkToFit="1"/>
    </xf>
    <xf numFmtId="2" fontId="12" fillId="4" borderId="6" xfId="0" applyNumberFormat="1" applyFont="1" applyFill="1" applyBorder="1" applyAlignment="1">
      <alignment horizontal="center" vertical="center" shrinkToFit="1"/>
    </xf>
    <xf numFmtId="2" fontId="4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 wrapText="1" shrinkToFit="1"/>
    </xf>
    <xf numFmtId="0" fontId="5" fillId="3" borderId="0" xfId="0" applyFont="1" applyFill="1" applyAlignment="1">
      <alignment horizontal="center" vertical="center" shrinkToFit="1"/>
    </xf>
    <xf numFmtId="2" fontId="5" fillId="3" borderId="4" xfId="0" applyNumberFormat="1" applyFont="1" applyFill="1" applyBorder="1" applyAlignment="1">
      <alignment horizontal="center" vertical="center" shrinkToFit="1"/>
    </xf>
    <xf numFmtId="0" fontId="19" fillId="0" borderId="0" xfId="0" applyFon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shrinkToFit="1"/>
    </xf>
    <xf numFmtId="0" fontId="5" fillId="5" borderId="0" xfId="0" applyFont="1" applyFill="1" applyAlignment="1">
      <alignment vertical="center" shrinkToFit="1"/>
    </xf>
    <xf numFmtId="0" fontId="5" fillId="5" borderId="9" xfId="0" applyFont="1" applyFill="1" applyBorder="1" applyAlignment="1">
      <alignment vertical="center" shrinkToFit="1"/>
    </xf>
    <xf numFmtId="0" fontId="12" fillId="4" borderId="3" xfId="0" applyFont="1" applyFill="1" applyBorder="1" applyAlignment="1">
      <alignment vertical="center"/>
    </xf>
    <xf numFmtId="0" fontId="12" fillId="4" borderId="0" xfId="0" applyFont="1" applyFill="1" applyAlignment="1">
      <alignment vertical="center" shrinkToFit="1"/>
    </xf>
    <xf numFmtId="0" fontId="12" fillId="4" borderId="0" xfId="0" applyFont="1" applyFill="1" applyAlignment="1">
      <alignment horizontal="center" vertical="center" shrinkToFit="1"/>
    </xf>
    <xf numFmtId="2" fontId="12" fillId="4" borderId="4" xfId="0" applyNumberFormat="1" applyFont="1" applyFill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/>
    </xf>
    <xf numFmtId="2" fontId="13" fillId="4" borderId="4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5" fillId="6" borderId="5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 shrinkToFit="1"/>
    </xf>
    <xf numFmtId="0" fontId="5" fillId="6" borderId="10" xfId="0" applyFont="1" applyFill="1" applyBorder="1" applyAlignment="1">
      <alignment horizontal="center" vertical="center" shrinkToFit="1"/>
    </xf>
    <xf numFmtId="2" fontId="5" fillId="6" borderId="6" xfId="0" applyNumberFormat="1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vertical="center"/>
    </xf>
    <xf numFmtId="0" fontId="5" fillId="6" borderId="0" xfId="0" applyFont="1" applyFill="1" applyAlignment="1">
      <alignment vertical="center" shrinkToFit="1"/>
    </xf>
    <xf numFmtId="0" fontId="5" fillId="6" borderId="0" xfId="0" applyFont="1" applyFill="1" applyAlignment="1">
      <alignment horizontal="center" vertical="center" shrinkToFit="1"/>
    </xf>
    <xf numFmtId="2" fontId="5" fillId="6" borderId="4" xfId="0" applyNumberFormat="1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vertical="center"/>
    </xf>
    <xf numFmtId="0" fontId="5" fillId="6" borderId="9" xfId="0" applyFont="1" applyFill="1" applyBorder="1" applyAlignment="1">
      <alignment vertical="center" shrinkToFit="1"/>
    </xf>
    <xf numFmtId="0" fontId="5" fillId="6" borderId="9" xfId="0" applyFont="1" applyFill="1" applyBorder="1" applyAlignment="1">
      <alignment horizontal="center" vertical="center" shrinkToFit="1"/>
    </xf>
    <xf numFmtId="2" fontId="5" fillId="6" borderId="2" xfId="0" applyNumberFormat="1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 vertical="center"/>
    </xf>
    <xf numFmtId="2" fontId="12" fillId="4" borderId="4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2" fontId="12" fillId="4" borderId="6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12" fillId="4" borderId="9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/>
    </xf>
    <xf numFmtId="0" fontId="5" fillId="0" borderId="3" xfId="0" applyFont="1" applyBorder="1"/>
    <xf numFmtId="2" fontId="5" fillId="0" borderId="4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5" fillId="6" borderId="9" xfId="0" applyFont="1" applyFill="1" applyBorder="1"/>
    <xf numFmtId="0" fontId="5" fillId="6" borderId="0" xfId="0" applyFont="1" applyFill="1"/>
    <xf numFmtId="0" fontId="5" fillId="6" borderId="1" xfId="0" applyFont="1" applyFill="1" applyBorder="1"/>
    <xf numFmtId="0" fontId="5" fillId="6" borderId="9" xfId="0" applyFont="1" applyFill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0" fontId="5" fillId="6" borderId="3" xfId="0" applyFont="1" applyFill="1" applyBorder="1"/>
    <xf numFmtId="0" fontId="5" fillId="6" borderId="0" xfId="0" applyFont="1" applyFill="1" applyAlignment="1">
      <alignment horizontal="center"/>
    </xf>
    <xf numFmtId="2" fontId="5" fillId="6" borderId="4" xfId="0" applyNumberFormat="1" applyFont="1" applyFill="1" applyBorder="1" applyAlignment="1">
      <alignment horizontal="center"/>
    </xf>
    <xf numFmtId="0" fontId="12" fillId="4" borderId="3" xfId="0" applyFont="1" applyFill="1" applyBorder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2" fontId="12" fillId="4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0" borderId="1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shrinkToFit="1"/>
    </xf>
    <xf numFmtId="0" fontId="5" fillId="0" borderId="0" xfId="0" quotePrefix="1" applyFont="1" applyAlignment="1">
      <alignment horizontal="center" vertical="center"/>
    </xf>
    <xf numFmtId="46" fontId="5" fillId="0" borderId="0" xfId="0" quotePrefix="1" applyNumberFormat="1" applyFont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4" fillId="0" borderId="0" xfId="0" quotePrefix="1" applyFont="1" applyAlignment="1">
      <alignment vertical="center"/>
    </xf>
    <xf numFmtId="0" fontId="20" fillId="0" borderId="0" xfId="0" quotePrefix="1" applyFont="1" applyAlignment="1">
      <alignment vertical="center"/>
    </xf>
    <xf numFmtId="46" fontId="4" fillId="0" borderId="0" xfId="0" quotePrefix="1" applyNumberFormat="1" applyFont="1" applyAlignment="1">
      <alignment vertical="center"/>
    </xf>
    <xf numFmtId="2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573E-DE7C-4543-A660-965A1AEF53FE}">
  <sheetPr>
    <pageSetUpPr fitToPage="1"/>
  </sheetPr>
  <dimension ref="A1:Y66"/>
  <sheetViews>
    <sheetView topLeftCell="A16" zoomScale="80" zoomScaleNormal="80" zoomScaleSheetLayoutView="90" zoomScalePageLayoutView="80" workbookViewId="0">
      <selection activeCell="B11" sqref="B11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7.85546875" style="72" bestFit="1" customWidth="1"/>
    <col min="4" max="4" width="5" style="76" bestFit="1" customWidth="1"/>
    <col min="5" max="5" width="6.42578125" style="4" customWidth="1"/>
    <col min="6" max="6" width="4.5703125" style="19" bestFit="1" customWidth="1"/>
    <col min="7" max="7" width="50" style="4" customWidth="1"/>
    <col min="8" max="8" width="7.85546875" style="72" bestFit="1" customWidth="1"/>
    <col min="9" max="9" width="5" style="76" bestFit="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7.85546875" style="72" bestFit="1" customWidth="1"/>
    <col min="14" max="14" width="5" style="76" bestFit="1" customWidth="1"/>
    <col min="15" max="15" width="8.5703125" style="4" customWidth="1"/>
    <col min="16" max="16" width="4.42578125" style="4" bestFit="1" customWidth="1"/>
    <col min="17" max="17" width="42.85546875" style="60" customWidth="1"/>
    <col min="18" max="18" width="7" style="4" customWidth="1"/>
    <col min="19" max="19" width="7.140625" style="4" customWidth="1"/>
    <col min="20" max="20" width="11.42578125" style="4"/>
    <col min="21" max="21" width="4.42578125" style="4" bestFit="1" customWidth="1"/>
    <col min="22" max="22" width="42.85546875" style="60" customWidth="1"/>
    <col min="23" max="23" width="7" style="4" customWidth="1"/>
    <col min="24" max="24" width="7.140625" style="4" customWidth="1"/>
    <col min="25" max="16384" width="11.42578125" style="4"/>
  </cols>
  <sheetData>
    <row r="1" spans="1:25" ht="30" customHeight="1" x14ac:dyDescent="0.3">
      <c r="A1" s="204" t="s">
        <v>266</v>
      </c>
      <c r="B1" s="204"/>
      <c r="C1" s="204"/>
      <c r="D1" s="204"/>
      <c r="E1" s="204"/>
      <c r="F1" s="204"/>
      <c r="G1" s="204"/>
      <c r="H1" s="73"/>
      <c r="I1" s="81"/>
      <c r="J1" s="1"/>
      <c r="K1" s="1"/>
      <c r="L1" s="2" t="s">
        <v>541</v>
      </c>
      <c r="M1" s="73"/>
      <c r="N1" s="81"/>
      <c r="O1" s="20"/>
      <c r="P1" s="20"/>
      <c r="Q1" s="108" t="s">
        <v>291</v>
      </c>
      <c r="S1" s="46" t="s">
        <v>292</v>
      </c>
      <c r="T1" s="188">
        <f>COUNTIF($T$5:T$52,S1)</f>
        <v>10</v>
      </c>
      <c r="U1" s="70"/>
      <c r="V1" s="79"/>
      <c r="W1" s="70"/>
      <c r="X1" s="46" t="s">
        <v>292</v>
      </c>
      <c r="Y1" s="188">
        <f>COUNTIF($Y$5:$Y$52,X1)</f>
        <v>10</v>
      </c>
    </row>
    <row r="2" spans="1:25" s="6" customFormat="1" ht="37.5" customHeight="1" x14ac:dyDescent="0.25">
      <c r="A2" s="5"/>
      <c r="C2" s="70"/>
      <c r="D2" s="74"/>
      <c r="F2" s="5"/>
      <c r="H2" s="70"/>
      <c r="I2" s="74"/>
      <c r="K2" s="5"/>
      <c r="M2" s="70"/>
      <c r="N2" s="74"/>
      <c r="Q2" s="109" t="s">
        <v>294</v>
      </c>
      <c r="S2" s="46" t="s">
        <v>293</v>
      </c>
      <c r="T2" s="188">
        <f>COUNTIF($T$5:T$52,S2)</f>
        <v>14</v>
      </c>
      <c r="U2" s="70"/>
      <c r="V2" s="79"/>
      <c r="W2" s="70"/>
      <c r="X2" s="46" t="s">
        <v>293</v>
      </c>
      <c r="Y2" s="188">
        <f>COUNTIF($Y$5:$Y$52,X2)</f>
        <v>11</v>
      </c>
    </row>
    <row r="3" spans="1:25" s="6" customFormat="1" ht="22.5" customHeight="1" x14ac:dyDescent="0.3">
      <c r="A3" s="7" t="s">
        <v>0</v>
      </c>
      <c r="B3" s="8" t="s">
        <v>120</v>
      </c>
      <c r="C3" s="71"/>
      <c r="D3" s="75"/>
      <c r="E3" s="4"/>
      <c r="F3" s="7" t="s">
        <v>0</v>
      </c>
      <c r="G3" s="8" t="s">
        <v>115</v>
      </c>
      <c r="H3" s="71"/>
      <c r="I3" s="75"/>
      <c r="J3" s="4"/>
      <c r="K3" s="19"/>
      <c r="L3" s="4"/>
      <c r="M3" s="71"/>
      <c r="N3" s="75"/>
      <c r="O3" s="4"/>
      <c r="Q3" s="16"/>
      <c r="V3" s="16"/>
    </row>
    <row r="4" spans="1:25" s="9" customFormat="1" ht="22.5" customHeight="1" x14ac:dyDescent="0.3">
      <c r="A4" s="198" t="s">
        <v>169</v>
      </c>
      <c r="B4" s="199"/>
      <c r="C4" s="22" t="s">
        <v>168</v>
      </c>
      <c r="D4" s="27" t="s">
        <v>167</v>
      </c>
      <c r="E4" s="4"/>
      <c r="F4" s="198" t="s">
        <v>200</v>
      </c>
      <c r="G4" s="199"/>
      <c r="H4" s="22" t="s">
        <v>168</v>
      </c>
      <c r="I4" s="27" t="s">
        <v>167</v>
      </c>
      <c r="J4" s="4"/>
      <c r="K4" s="19"/>
      <c r="L4" s="4"/>
      <c r="M4" s="72"/>
      <c r="N4" s="76"/>
      <c r="O4" s="4"/>
      <c r="P4" s="4"/>
      <c r="Q4" s="110" t="s">
        <v>170</v>
      </c>
      <c r="R4" s="22" t="s">
        <v>168</v>
      </c>
      <c r="S4" s="22" t="s">
        <v>167</v>
      </c>
      <c r="T4" s="111"/>
      <c r="U4" s="111"/>
      <c r="V4" s="110" t="s">
        <v>171</v>
      </c>
      <c r="W4" s="22" t="s">
        <v>168</v>
      </c>
      <c r="X4" s="22" t="s">
        <v>167</v>
      </c>
    </row>
    <row r="5" spans="1:25" s="6" customFormat="1" ht="22.5" customHeight="1" x14ac:dyDescent="0.3">
      <c r="A5" s="10" t="s">
        <v>1</v>
      </c>
      <c r="B5" s="11" t="s">
        <v>273</v>
      </c>
      <c r="C5" s="23">
        <v>22</v>
      </c>
      <c r="D5" s="24">
        <v>2.75</v>
      </c>
      <c r="E5" s="4"/>
      <c r="F5" s="10" t="s">
        <v>1</v>
      </c>
      <c r="G5" s="11" t="s">
        <v>13</v>
      </c>
      <c r="H5" s="23">
        <v>15</v>
      </c>
      <c r="I5" s="24">
        <v>2.5</v>
      </c>
      <c r="J5" s="4"/>
      <c r="K5" s="19"/>
      <c r="L5" s="4"/>
      <c r="M5" s="72"/>
      <c r="N5" s="76"/>
      <c r="O5" s="4"/>
      <c r="P5" s="62" t="s">
        <v>1</v>
      </c>
      <c r="Q5" s="64" t="s">
        <v>273</v>
      </c>
      <c r="R5" s="86">
        <v>22</v>
      </c>
      <c r="S5" s="87">
        <v>2.75</v>
      </c>
      <c r="T5" s="6" t="s">
        <v>292</v>
      </c>
      <c r="U5" s="10" t="s">
        <v>1</v>
      </c>
      <c r="V5" s="64" t="s">
        <v>13</v>
      </c>
      <c r="W5" s="86">
        <v>15</v>
      </c>
      <c r="X5" s="87">
        <v>2.5</v>
      </c>
      <c r="Y5" s="6" t="s">
        <v>292</v>
      </c>
    </row>
    <row r="6" spans="1:25" s="6" customFormat="1" ht="22.5" customHeight="1" x14ac:dyDescent="0.3">
      <c r="A6" s="12" t="s">
        <v>2</v>
      </c>
      <c r="B6" s="13" t="s">
        <v>186</v>
      </c>
      <c r="C6" s="23">
        <v>19</v>
      </c>
      <c r="D6" s="24">
        <v>2.375</v>
      </c>
      <c r="E6" s="4"/>
      <c r="F6" s="12" t="s">
        <v>2</v>
      </c>
      <c r="G6" s="13" t="s">
        <v>27</v>
      </c>
      <c r="H6" s="23">
        <v>12</v>
      </c>
      <c r="I6" s="24">
        <v>2</v>
      </c>
      <c r="J6" s="4"/>
      <c r="K6" s="19"/>
      <c r="L6" s="4"/>
      <c r="M6" s="72"/>
      <c r="N6" s="76"/>
      <c r="O6" s="4"/>
      <c r="P6" s="25" t="s">
        <v>2</v>
      </c>
      <c r="Q6" s="16" t="s">
        <v>186</v>
      </c>
      <c r="R6" s="23">
        <v>19</v>
      </c>
      <c r="S6" s="88">
        <v>2.375</v>
      </c>
      <c r="T6" s="6" t="s">
        <v>292</v>
      </c>
      <c r="U6" s="12" t="s">
        <v>2</v>
      </c>
      <c r="V6" s="16" t="s">
        <v>27</v>
      </c>
      <c r="W6" s="23">
        <v>12</v>
      </c>
      <c r="X6" s="88">
        <v>2</v>
      </c>
      <c r="Y6" s="6" t="s">
        <v>292</v>
      </c>
    </row>
    <row r="7" spans="1:25" s="6" customFormat="1" ht="22.5" customHeight="1" x14ac:dyDescent="0.3">
      <c r="A7" s="12" t="s">
        <v>3</v>
      </c>
      <c r="B7" s="13" t="s">
        <v>68</v>
      </c>
      <c r="C7" s="23">
        <v>16</v>
      </c>
      <c r="D7" s="24">
        <v>2</v>
      </c>
      <c r="E7" s="4"/>
      <c r="F7" s="12" t="s">
        <v>3</v>
      </c>
      <c r="G7" s="13" t="s">
        <v>267</v>
      </c>
      <c r="H7" s="23">
        <v>12</v>
      </c>
      <c r="I7" s="24">
        <v>2</v>
      </c>
      <c r="J7" s="4"/>
      <c r="K7" s="19"/>
      <c r="L7" s="4"/>
      <c r="M7" s="72"/>
      <c r="N7" s="76"/>
      <c r="O7" s="4"/>
      <c r="P7" s="25" t="s">
        <v>3</v>
      </c>
      <c r="Q7" s="16" t="s">
        <v>68</v>
      </c>
      <c r="R7" s="23">
        <v>16</v>
      </c>
      <c r="S7" s="88">
        <v>2</v>
      </c>
      <c r="T7" s="6" t="s">
        <v>292</v>
      </c>
      <c r="U7" s="12" t="s">
        <v>3</v>
      </c>
      <c r="V7" s="16" t="s">
        <v>267</v>
      </c>
      <c r="W7" s="23">
        <v>12</v>
      </c>
      <c r="X7" s="88">
        <v>2</v>
      </c>
      <c r="Y7" s="6" t="s">
        <v>292</v>
      </c>
    </row>
    <row r="8" spans="1:25" s="6" customFormat="1" ht="22.5" customHeight="1" x14ac:dyDescent="0.3">
      <c r="A8" s="12" t="s">
        <v>4</v>
      </c>
      <c r="B8" s="13" t="s">
        <v>182</v>
      </c>
      <c r="C8" s="23">
        <v>12</v>
      </c>
      <c r="D8" s="24">
        <v>1.5</v>
      </c>
      <c r="E8" s="4"/>
      <c r="F8" s="12" t="s">
        <v>4</v>
      </c>
      <c r="G8" s="13" t="s">
        <v>268</v>
      </c>
      <c r="H8" s="23">
        <v>12</v>
      </c>
      <c r="I8" s="24">
        <v>2</v>
      </c>
      <c r="J8" s="4"/>
      <c r="K8" s="19"/>
      <c r="L8" s="4"/>
      <c r="M8" s="72"/>
      <c r="N8" s="76"/>
      <c r="O8" s="4"/>
      <c r="P8" s="25" t="s">
        <v>4</v>
      </c>
      <c r="Q8" s="16" t="s">
        <v>182</v>
      </c>
      <c r="R8" s="23">
        <v>12</v>
      </c>
      <c r="S8" s="88">
        <v>1.5</v>
      </c>
      <c r="T8" s="6" t="s">
        <v>292</v>
      </c>
      <c r="U8" s="12" t="s">
        <v>4</v>
      </c>
      <c r="V8" s="16" t="s">
        <v>268</v>
      </c>
      <c r="W8" s="23">
        <v>12</v>
      </c>
      <c r="X8" s="88">
        <v>2</v>
      </c>
      <c r="Y8" s="6" t="s">
        <v>292</v>
      </c>
    </row>
    <row r="9" spans="1:25" s="6" customFormat="1" ht="22.5" customHeight="1" x14ac:dyDescent="0.3">
      <c r="A9" s="12" t="s">
        <v>5</v>
      </c>
      <c r="B9" s="13" t="s">
        <v>184</v>
      </c>
      <c r="C9" s="23">
        <v>8</v>
      </c>
      <c r="D9" s="24">
        <v>1</v>
      </c>
      <c r="E9" s="4"/>
      <c r="F9" s="12" t="s">
        <v>5</v>
      </c>
      <c r="G9" s="13" t="s">
        <v>269</v>
      </c>
      <c r="H9" s="23">
        <v>16</v>
      </c>
      <c r="I9" s="38">
        <v>2.2857142857142856</v>
      </c>
      <c r="K9" s="19"/>
      <c r="L9" s="4"/>
      <c r="M9" s="72"/>
      <c r="N9" s="76"/>
      <c r="O9" s="4"/>
      <c r="P9" s="103" t="s">
        <v>5</v>
      </c>
      <c r="Q9" s="106" t="s">
        <v>274</v>
      </c>
      <c r="R9" s="99">
        <v>9</v>
      </c>
      <c r="S9" s="100">
        <v>1.125</v>
      </c>
      <c r="T9" s="6" t="s">
        <v>293</v>
      </c>
      <c r="U9" s="12" t="s">
        <v>5</v>
      </c>
      <c r="V9" s="16" t="s">
        <v>28</v>
      </c>
      <c r="W9" s="23">
        <v>6</v>
      </c>
      <c r="X9" s="88">
        <v>1</v>
      </c>
      <c r="Y9" s="6" t="s">
        <v>293</v>
      </c>
    </row>
    <row r="10" spans="1:25" s="6" customFormat="1" ht="22.5" customHeight="1" x14ac:dyDescent="0.3">
      <c r="A10" s="12" t="s">
        <v>6</v>
      </c>
      <c r="B10" s="13" t="s">
        <v>181</v>
      </c>
      <c r="C10" s="23">
        <v>16</v>
      </c>
      <c r="D10" s="24">
        <v>2.6666666666666665</v>
      </c>
      <c r="E10" s="4"/>
      <c r="F10" s="12" t="s">
        <v>6</v>
      </c>
      <c r="G10" s="13" t="s">
        <v>270</v>
      </c>
      <c r="H10" s="23">
        <v>16</v>
      </c>
      <c r="I10" s="38">
        <v>2.2857142857142856</v>
      </c>
      <c r="K10" s="19"/>
      <c r="L10" s="4"/>
      <c r="M10" s="72"/>
      <c r="N10" s="76"/>
      <c r="O10" s="4"/>
      <c r="P10" s="25" t="s">
        <v>6</v>
      </c>
      <c r="Q10" s="16" t="s">
        <v>184</v>
      </c>
      <c r="R10" s="23">
        <v>8</v>
      </c>
      <c r="S10" s="88">
        <v>1</v>
      </c>
      <c r="T10" s="6" t="s">
        <v>292</v>
      </c>
      <c r="U10" s="12" t="s">
        <v>6</v>
      </c>
      <c r="V10" s="16" t="s">
        <v>15</v>
      </c>
      <c r="W10" s="23">
        <v>6</v>
      </c>
      <c r="X10" s="88">
        <v>1</v>
      </c>
      <c r="Y10" s="6" t="s">
        <v>293</v>
      </c>
    </row>
    <row r="11" spans="1:25" s="6" customFormat="1" ht="22.5" customHeight="1" x14ac:dyDescent="0.3">
      <c r="A11" s="12" t="s">
        <v>7</v>
      </c>
      <c r="B11" s="13" t="s">
        <v>275</v>
      </c>
      <c r="C11" s="23">
        <v>12</v>
      </c>
      <c r="D11" s="24">
        <v>2</v>
      </c>
      <c r="E11" s="4"/>
      <c r="F11" s="12" t="s">
        <v>7</v>
      </c>
      <c r="G11" s="13" t="s">
        <v>24</v>
      </c>
      <c r="H11" s="23">
        <v>16</v>
      </c>
      <c r="I11" s="38">
        <v>2.2857142857142856</v>
      </c>
      <c r="K11" s="19"/>
      <c r="L11" s="4"/>
      <c r="M11" s="72"/>
      <c r="N11" s="76"/>
      <c r="O11" s="4"/>
      <c r="P11" s="25" t="s">
        <v>7</v>
      </c>
      <c r="Q11" s="16" t="s">
        <v>53</v>
      </c>
      <c r="R11" s="23">
        <v>6</v>
      </c>
      <c r="S11" s="88">
        <v>0.75</v>
      </c>
      <c r="T11" s="6" t="s">
        <v>293</v>
      </c>
      <c r="U11" s="104" t="s">
        <v>7</v>
      </c>
      <c r="V11" s="107" t="s">
        <v>278</v>
      </c>
      <c r="W11" s="101">
        <v>0</v>
      </c>
      <c r="X11" s="102">
        <v>0</v>
      </c>
    </row>
    <row r="12" spans="1:25" s="6" customFormat="1" ht="22.5" customHeight="1" x14ac:dyDescent="0.3">
      <c r="A12" s="12" t="s">
        <v>8</v>
      </c>
      <c r="B12" s="13" t="s">
        <v>202</v>
      </c>
      <c r="C12" s="23">
        <v>12</v>
      </c>
      <c r="D12" s="24">
        <v>2</v>
      </c>
      <c r="E12" s="4"/>
      <c r="F12" s="12" t="s">
        <v>8</v>
      </c>
      <c r="G12" s="13" t="s">
        <v>271</v>
      </c>
      <c r="H12" s="23">
        <v>18</v>
      </c>
      <c r="I12" s="38">
        <v>2.5714285714285716</v>
      </c>
      <c r="K12" s="19"/>
      <c r="L12" s="4"/>
      <c r="M12" s="72"/>
      <c r="N12" s="76"/>
      <c r="O12" s="4"/>
      <c r="P12" s="25" t="s">
        <v>8</v>
      </c>
      <c r="Q12" s="16" t="s">
        <v>55</v>
      </c>
      <c r="R12" s="23">
        <v>5</v>
      </c>
      <c r="S12" s="88">
        <v>0.625</v>
      </c>
      <c r="T12" s="6" t="s">
        <v>293</v>
      </c>
      <c r="U12" s="104" t="s">
        <v>8</v>
      </c>
      <c r="V12" s="107" t="s">
        <v>279</v>
      </c>
      <c r="W12" s="101">
        <v>0</v>
      </c>
      <c r="X12" s="102"/>
    </row>
    <row r="13" spans="1:25" s="6" customFormat="1" ht="22.5" customHeight="1" x14ac:dyDescent="0.3">
      <c r="A13" s="12" t="s">
        <v>9</v>
      </c>
      <c r="B13" s="13" t="s">
        <v>183</v>
      </c>
      <c r="C13" s="23">
        <v>7</v>
      </c>
      <c r="D13" s="24">
        <v>1.1666666666666667</v>
      </c>
      <c r="E13" s="4"/>
      <c r="F13" s="12" t="s">
        <v>9</v>
      </c>
      <c r="G13" s="13" t="s">
        <v>37</v>
      </c>
      <c r="H13" s="23">
        <v>15</v>
      </c>
      <c r="I13" s="38">
        <v>2.1428571428571428</v>
      </c>
      <c r="K13" s="19"/>
      <c r="L13" s="4"/>
      <c r="M13" s="72"/>
      <c r="N13" s="76"/>
      <c r="O13" s="4"/>
      <c r="P13" s="26" t="s">
        <v>9</v>
      </c>
      <c r="Q13" s="33" t="s">
        <v>185</v>
      </c>
      <c r="R13" s="89">
        <v>5</v>
      </c>
      <c r="S13" s="90">
        <v>0.625</v>
      </c>
      <c r="T13" s="6" t="s">
        <v>293</v>
      </c>
      <c r="V13" s="16"/>
    </row>
    <row r="14" spans="1:25" s="6" customFormat="1" ht="22.5" customHeight="1" x14ac:dyDescent="0.3">
      <c r="A14" s="14" t="s">
        <v>10</v>
      </c>
      <c r="B14" s="15" t="s">
        <v>276</v>
      </c>
      <c r="C14" s="23">
        <v>7</v>
      </c>
      <c r="D14" s="24">
        <v>1.1666666666666667</v>
      </c>
      <c r="E14" s="4"/>
      <c r="F14" s="14" t="s">
        <v>10</v>
      </c>
      <c r="G14" s="15" t="s">
        <v>272</v>
      </c>
      <c r="H14" s="23">
        <v>13</v>
      </c>
      <c r="I14" s="38">
        <v>1.8571428571428572</v>
      </c>
      <c r="K14" s="19"/>
      <c r="L14" s="4"/>
      <c r="M14" s="72"/>
      <c r="N14" s="76"/>
      <c r="O14" s="4"/>
      <c r="Q14" s="16"/>
      <c r="R14" s="23"/>
      <c r="S14" s="24"/>
      <c r="U14" s="10" t="s">
        <v>1</v>
      </c>
      <c r="V14" s="64" t="s">
        <v>269</v>
      </c>
      <c r="W14" s="86">
        <v>16</v>
      </c>
      <c r="X14" s="87">
        <v>2.2857142857142856</v>
      </c>
      <c r="Y14" s="6" t="s">
        <v>292</v>
      </c>
    </row>
    <row r="15" spans="1:25" s="6" customFormat="1" ht="22.5" customHeight="1" x14ac:dyDescent="0.3">
      <c r="A15" s="5"/>
      <c r="B15" s="16"/>
      <c r="C15" s="23"/>
      <c r="D15" s="24"/>
      <c r="E15" s="4"/>
      <c r="F15" s="5"/>
      <c r="G15" s="16"/>
      <c r="H15" s="23"/>
      <c r="I15" s="38"/>
      <c r="K15" s="19"/>
      <c r="L15" s="4"/>
      <c r="M15" s="72"/>
      <c r="N15" s="76"/>
      <c r="O15" s="4"/>
      <c r="P15" s="62" t="s">
        <v>1</v>
      </c>
      <c r="Q15" s="64" t="s">
        <v>181</v>
      </c>
      <c r="R15" s="86">
        <v>16</v>
      </c>
      <c r="S15" s="87">
        <v>2.6666666666666665</v>
      </c>
      <c r="T15" s="6" t="s">
        <v>292</v>
      </c>
      <c r="U15" s="12" t="s">
        <v>2</v>
      </c>
      <c r="V15" s="16" t="s">
        <v>270</v>
      </c>
      <c r="W15" s="23">
        <v>16</v>
      </c>
      <c r="X15" s="88">
        <v>2.2857142857142856</v>
      </c>
      <c r="Y15" s="6" t="s">
        <v>292</v>
      </c>
    </row>
    <row r="16" spans="1:25" s="6" customFormat="1" ht="22.5" customHeight="1" x14ac:dyDescent="0.3">
      <c r="A16" s="19"/>
      <c r="B16" s="4"/>
      <c r="C16" s="72"/>
      <c r="D16" s="76"/>
      <c r="E16" s="4"/>
      <c r="F16" s="19"/>
      <c r="G16" s="4"/>
      <c r="H16" s="72"/>
      <c r="I16" s="76"/>
      <c r="J16" s="4"/>
      <c r="K16" s="19"/>
      <c r="L16" s="4"/>
      <c r="M16" s="72"/>
      <c r="N16" s="76"/>
      <c r="O16" s="4"/>
      <c r="P16" s="25" t="s">
        <v>2</v>
      </c>
      <c r="Q16" s="16" t="s">
        <v>275</v>
      </c>
      <c r="R16" s="23">
        <v>12</v>
      </c>
      <c r="S16" s="88">
        <v>2</v>
      </c>
      <c r="T16" s="6" t="s">
        <v>292</v>
      </c>
      <c r="U16" s="12" t="s">
        <v>3</v>
      </c>
      <c r="V16" s="16" t="s">
        <v>24</v>
      </c>
      <c r="W16" s="23">
        <v>16</v>
      </c>
      <c r="X16" s="88">
        <v>2.2857142857142856</v>
      </c>
      <c r="Y16" s="6" t="s">
        <v>292</v>
      </c>
    </row>
    <row r="17" spans="1:25" s="6" customFormat="1" ht="22.5" customHeight="1" x14ac:dyDescent="0.3">
      <c r="A17" s="7" t="s">
        <v>0</v>
      </c>
      <c r="B17" s="8" t="s">
        <v>120</v>
      </c>
      <c r="C17" s="71"/>
      <c r="D17" s="75"/>
      <c r="E17" s="4"/>
      <c r="F17" s="7" t="s">
        <v>0</v>
      </c>
      <c r="G17" s="8" t="s">
        <v>120</v>
      </c>
      <c r="H17" s="135"/>
      <c r="I17" s="136"/>
      <c r="J17" s="4"/>
      <c r="K17" s="19"/>
      <c r="L17" s="4"/>
      <c r="M17" s="72"/>
      <c r="N17" s="76"/>
      <c r="O17" s="4"/>
      <c r="P17" s="25" t="s">
        <v>3</v>
      </c>
      <c r="Q17" s="16" t="s">
        <v>202</v>
      </c>
      <c r="R17" s="23">
        <v>12</v>
      </c>
      <c r="S17" s="88">
        <v>2</v>
      </c>
      <c r="T17" s="6" t="s">
        <v>292</v>
      </c>
      <c r="U17" s="105" t="s">
        <v>4</v>
      </c>
      <c r="V17" s="106" t="s">
        <v>36</v>
      </c>
      <c r="W17" s="99">
        <v>9</v>
      </c>
      <c r="X17" s="100">
        <v>1.2857142857142858</v>
      </c>
      <c r="Y17" s="6" t="s">
        <v>293</v>
      </c>
    </row>
    <row r="18" spans="1:25" s="6" customFormat="1" ht="22.5" customHeight="1" x14ac:dyDescent="0.3">
      <c r="A18" s="198" t="s">
        <v>521</v>
      </c>
      <c r="B18" s="199"/>
      <c r="C18" s="22" t="s">
        <v>168</v>
      </c>
      <c r="D18" s="27" t="s">
        <v>167</v>
      </c>
      <c r="E18" s="4"/>
      <c r="F18" s="198" t="s">
        <v>172</v>
      </c>
      <c r="G18" s="199"/>
      <c r="H18" s="22" t="s">
        <v>168</v>
      </c>
      <c r="I18" s="27" t="s">
        <v>167</v>
      </c>
      <c r="J18" s="4"/>
      <c r="K18" s="19"/>
      <c r="L18" s="4"/>
      <c r="M18" s="72"/>
      <c r="N18" s="76"/>
      <c r="O18" s="4"/>
      <c r="P18" s="25" t="s">
        <v>4</v>
      </c>
      <c r="Q18" s="16" t="s">
        <v>183</v>
      </c>
      <c r="R18" s="23">
        <v>7</v>
      </c>
      <c r="S18" s="88">
        <v>1.1666666666666667</v>
      </c>
      <c r="T18" s="6" t="s">
        <v>292</v>
      </c>
      <c r="U18" s="105" t="s">
        <v>5</v>
      </c>
      <c r="V18" s="106" t="s">
        <v>191</v>
      </c>
      <c r="W18" s="99">
        <v>9</v>
      </c>
      <c r="X18" s="100">
        <v>1.2857142857142858</v>
      </c>
      <c r="Y18" s="6" t="s">
        <v>293</v>
      </c>
    </row>
    <row r="19" spans="1:25" s="9" customFormat="1" ht="22.5" customHeight="1" x14ac:dyDescent="0.3">
      <c r="A19" s="10" t="s">
        <v>1</v>
      </c>
      <c r="B19" s="11" t="s">
        <v>274</v>
      </c>
      <c r="C19" s="23">
        <v>9</v>
      </c>
      <c r="D19" s="46">
        <v>1.125</v>
      </c>
      <c r="E19" s="4"/>
      <c r="F19" s="10" t="s">
        <v>1</v>
      </c>
      <c r="G19" s="11" t="s">
        <v>285</v>
      </c>
      <c r="H19" s="23">
        <v>18</v>
      </c>
      <c r="I19" s="46">
        <v>2.25</v>
      </c>
      <c r="J19" s="4"/>
      <c r="K19" s="19"/>
      <c r="L19" s="4"/>
      <c r="M19" s="72"/>
      <c r="N19" s="76"/>
      <c r="O19" s="4"/>
      <c r="P19" s="25" t="s">
        <v>5</v>
      </c>
      <c r="Q19" s="16" t="s">
        <v>276</v>
      </c>
      <c r="R19" s="23">
        <v>7</v>
      </c>
      <c r="S19" s="88">
        <v>1.1666666666666667</v>
      </c>
      <c r="T19" s="6" t="s">
        <v>292</v>
      </c>
      <c r="U19" s="12" t="s">
        <v>6</v>
      </c>
      <c r="V19" s="16" t="s">
        <v>280</v>
      </c>
      <c r="W19" s="23">
        <v>9</v>
      </c>
      <c r="X19" s="88">
        <v>1.2857142857142858</v>
      </c>
      <c r="Y19" s="6" t="s">
        <v>293</v>
      </c>
    </row>
    <row r="20" spans="1:25" s="6" customFormat="1" ht="22.5" customHeight="1" x14ac:dyDescent="0.3">
      <c r="A20" s="12" t="s">
        <v>2</v>
      </c>
      <c r="B20" s="13" t="s">
        <v>53</v>
      </c>
      <c r="C20" s="23">
        <v>6</v>
      </c>
      <c r="D20" s="46">
        <v>0.75</v>
      </c>
      <c r="E20" s="4"/>
      <c r="F20" s="12" t="s">
        <v>2</v>
      </c>
      <c r="G20" s="13" t="s">
        <v>201</v>
      </c>
      <c r="H20" s="23">
        <v>17</v>
      </c>
      <c r="I20" s="46">
        <v>2.125</v>
      </c>
      <c r="J20" s="4"/>
      <c r="K20" s="19"/>
      <c r="L20" s="4"/>
      <c r="M20" s="72"/>
      <c r="N20" s="76"/>
      <c r="O20" s="4"/>
      <c r="P20" s="129" t="s">
        <v>6</v>
      </c>
      <c r="Q20" s="130" t="s">
        <v>58</v>
      </c>
      <c r="R20" s="133">
        <v>7</v>
      </c>
      <c r="S20" s="134">
        <v>1.1666666666666667</v>
      </c>
      <c r="U20" s="105" t="s">
        <v>7</v>
      </c>
      <c r="V20" s="106" t="s">
        <v>281</v>
      </c>
      <c r="W20" s="99">
        <v>6</v>
      </c>
      <c r="X20" s="100">
        <v>0.8571428571428571</v>
      </c>
      <c r="Y20" s="6" t="s">
        <v>293</v>
      </c>
    </row>
    <row r="21" spans="1:25" s="6" customFormat="1" ht="22.5" customHeight="1" x14ac:dyDescent="0.3">
      <c r="A21" s="12" t="s">
        <v>3</v>
      </c>
      <c r="B21" s="13" t="s">
        <v>55</v>
      </c>
      <c r="C21" s="23">
        <v>5</v>
      </c>
      <c r="D21" s="46">
        <v>0.625</v>
      </c>
      <c r="E21" s="4"/>
      <c r="F21" s="12" t="s">
        <v>3</v>
      </c>
      <c r="G21" s="13" t="s">
        <v>287</v>
      </c>
      <c r="H21" s="23">
        <v>15</v>
      </c>
      <c r="I21" s="46">
        <v>1.875</v>
      </c>
      <c r="J21" s="4"/>
      <c r="K21" s="19"/>
      <c r="L21" s="4"/>
      <c r="M21" s="72"/>
      <c r="N21" s="76"/>
      <c r="O21" s="4"/>
      <c r="P21" s="25" t="s">
        <v>7</v>
      </c>
      <c r="Q21" s="16" t="s">
        <v>74</v>
      </c>
      <c r="R21" s="23">
        <v>0</v>
      </c>
      <c r="S21" s="88">
        <v>0</v>
      </c>
      <c r="T21" s="6" t="s">
        <v>293</v>
      </c>
      <c r="U21" s="14" t="s">
        <v>8</v>
      </c>
      <c r="V21" s="33" t="s">
        <v>282</v>
      </c>
      <c r="W21" s="89">
        <v>0</v>
      </c>
      <c r="X21" s="90">
        <v>0</v>
      </c>
      <c r="Y21" s="6" t="s">
        <v>293</v>
      </c>
    </row>
    <row r="22" spans="1:25" s="6" customFormat="1" ht="22.5" customHeight="1" x14ac:dyDescent="0.3">
      <c r="A22" s="12" t="s">
        <v>4</v>
      </c>
      <c r="B22" s="13" t="s">
        <v>185</v>
      </c>
      <c r="C22" s="23">
        <v>5</v>
      </c>
      <c r="D22" s="46">
        <v>0.625</v>
      </c>
      <c r="E22" s="4"/>
      <c r="F22" s="12" t="s">
        <v>4</v>
      </c>
      <c r="G22" s="13" t="s">
        <v>90</v>
      </c>
      <c r="H22" s="23">
        <v>13</v>
      </c>
      <c r="I22" s="46">
        <v>1.625</v>
      </c>
      <c r="J22" s="4"/>
      <c r="K22" s="19"/>
      <c r="L22" s="4"/>
      <c r="M22" s="72"/>
      <c r="N22" s="76"/>
      <c r="O22" s="4"/>
      <c r="P22" s="104" t="s">
        <v>8</v>
      </c>
      <c r="Q22" s="107" t="s">
        <v>277</v>
      </c>
      <c r="R22" s="101">
        <v>0</v>
      </c>
      <c r="S22" s="102"/>
      <c r="V22" s="16"/>
    </row>
    <row r="23" spans="1:25" s="6" customFormat="1" ht="22.5" customHeight="1" x14ac:dyDescent="0.3">
      <c r="A23" s="12" t="s">
        <v>5</v>
      </c>
      <c r="B23" s="13" t="s">
        <v>74</v>
      </c>
      <c r="C23" s="23">
        <v>0</v>
      </c>
      <c r="D23" s="46">
        <v>0</v>
      </c>
      <c r="E23" s="4"/>
      <c r="F23" s="12" t="s">
        <v>5</v>
      </c>
      <c r="G23" s="13" t="s">
        <v>288</v>
      </c>
      <c r="H23" s="23">
        <v>12</v>
      </c>
      <c r="I23" s="46">
        <v>1.5</v>
      </c>
      <c r="J23" s="4"/>
      <c r="K23" s="19"/>
      <c r="L23" s="4"/>
      <c r="M23" s="72"/>
      <c r="N23" s="76"/>
      <c r="O23" s="4"/>
      <c r="P23" s="4"/>
      <c r="Q23" s="60"/>
      <c r="R23" s="4"/>
      <c r="S23" s="4"/>
      <c r="U23" s="10" t="s">
        <v>1</v>
      </c>
      <c r="V23" s="64" t="s">
        <v>271</v>
      </c>
      <c r="W23" s="86">
        <v>18</v>
      </c>
      <c r="X23" s="87">
        <v>2.5714285714285716</v>
      </c>
      <c r="Y23" s="6" t="s">
        <v>292</v>
      </c>
    </row>
    <row r="24" spans="1:25" s="6" customFormat="1" ht="22.5" customHeight="1" x14ac:dyDescent="0.3">
      <c r="A24" s="14" t="s">
        <v>6</v>
      </c>
      <c r="B24" s="15" t="s">
        <v>427</v>
      </c>
      <c r="C24" s="23">
        <v>16</v>
      </c>
      <c r="D24" s="46">
        <v>2</v>
      </c>
      <c r="E24" s="4"/>
      <c r="F24" s="12" t="s">
        <v>6</v>
      </c>
      <c r="G24" s="13" t="s">
        <v>289</v>
      </c>
      <c r="H24" s="23">
        <v>6</v>
      </c>
      <c r="I24" s="46">
        <v>0.75</v>
      </c>
      <c r="J24" s="4"/>
      <c r="K24" s="19"/>
      <c r="L24" s="4"/>
      <c r="M24" s="72"/>
      <c r="N24" s="76"/>
      <c r="O24" s="4"/>
      <c r="P24" s="62" t="s">
        <v>1</v>
      </c>
      <c r="Q24" s="64" t="s">
        <v>285</v>
      </c>
      <c r="R24" s="86">
        <v>18</v>
      </c>
      <c r="S24" s="87">
        <v>2.25</v>
      </c>
      <c r="T24" s="6" t="s">
        <v>293</v>
      </c>
      <c r="U24" s="105" t="s">
        <v>2</v>
      </c>
      <c r="V24" s="106" t="s">
        <v>283</v>
      </c>
      <c r="W24" s="99">
        <v>15</v>
      </c>
      <c r="X24" s="100">
        <v>2.1428571428571428</v>
      </c>
      <c r="Y24" s="6" t="s">
        <v>293</v>
      </c>
    </row>
    <row r="25" spans="1:25" s="6" customFormat="1" ht="22.5" customHeight="1" x14ac:dyDescent="0.3">
      <c r="A25" s="19"/>
      <c r="B25" s="4"/>
      <c r="C25" s="23"/>
      <c r="D25" s="46"/>
      <c r="E25" s="4"/>
      <c r="F25" s="12" t="s">
        <v>7</v>
      </c>
      <c r="G25" s="13" t="s">
        <v>187</v>
      </c>
      <c r="H25" s="23">
        <v>4</v>
      </c>
      <c r="I25" s="46">
        <v>0.5</v>
      </c>
      <c r="J25" s="4"/>
      <c r="K25" s="19"/>
      <c r="L25" s="4"/>
      <c r="M25" s="72"/>
      <c r="N25" s="76"/>
      <c r="O25" s="4"/>
      <c r="P25" s="25" t="s">
        <v>2</v>
      </c>
      <c r="Q25" s="16" t="s">
        <v>201</v>
      </c>
      <c r="R25" s="23">
        <v>17</v>
      </c>
      <c r="S25" s="88">
        <v>2.125</v>
      </c>
      <c r="T25" s="6" t="s">
        <v>293</v>
      </c>
      <c r="U25" s="12" t="s">
        <v>3</v>
      </c>
      <c r="V25" s="16" t="s">
        <v>37</v>
      </c>
      <c r="W25" s="23">
        <v>15</v>
      </c>
      <c r="X25" s="88">
        <v>2.1428571428571428</v>
      </c>
      <c r="Y25" s="6" t="s">
        <v>292</v>
      </c>
    </row>
    <row r="26" spans="1:25" s="6" customFormat="1" ht="22.5" customHeight="1" x14ac:dyDescent="0.3">
      <c r="A26" s="19"/>
      <c r="B26" s="4"/>
      <c r="C26" s="23"/>
      <c r="D26" s="46"/>
      <c r="E26" s="4"/>
      <c r="F26" s="14" t="s">
        <v>8</v>
      </c>
      <c r="G26" s="15" t="s">
        <v>290</v>
      </c>
      <c r="H26" s="23">
        <v>4</v>
      </c>
      <c r="I26" s="46">
        <v>0.5</v>
      </c>
      <c r="J26" s="4"/>
      <c r="K26" s="19"/>
      <c r="L26" s="4"/>
      <c r="M26" s="72"/>
      <c r="N26" s="76"/>
      <c r="O26" s="4"/>
      <c r="P26" s="25" t="s">
        <v>3</v>
      </c>
      <c r="Q26" s="16" t="s">
        <v>286</v>
      </c>
      <c r="R26" s="23">
        <v>16</v>
      </c>
      <c r="S26" s="88">
        <v>2</v>
      </c>
      <c r="T26" s="6" t="s">
        <v>293</v>
      </c>
      <c r="U26" s="12" t="s">
        <v>4</v>
      </c>
      <c r="V26" s="16" t="s">
        <v>272</v>
      </c>
      <c r="W26" s="23">
        <v>13</v>
      </c>
      <c r="X26" s="88">
        <v>1.8571428571428572</v>
      </c>
      <c r="Y26" s="6" t="s">
        <v>292</v>
      </c>
    </row>
    <row r="27" spans="1:25" s="6" customFormat="1" ht="22.5" customHeight="1" x14ac:dyDescent="0.3">
      <c r="A27" s="19"/>
      <c r="B27" s="4"/>
      <c r="C27" s="23"/>
      <c r="D27" s="46"/>
      <c r="E27" s="4"/>
      <c r="F27" s="5"/>
      <c r="G27" s="16"/>
      <c r="H27" s="23"/>
      <c r="I27" s="46"/>
      <c r="J27" s="4"/>
      <c r="K27" s="19"/>
      <c r="L27" s="4"/>
      <c r="M27" s="72"/>
      <c r="N27" s="76"/>
      <c r="O27" s="4"/>
      <c r="P27" s="25" t="s">
        <v>4</v>
      </c>
      <c r="Q27" s="16" t="s">
        <v>287</v>
      </c>
      <c r="R27" s="23">
        <v>15</v>
      </c>
      <c r="S27" s="88">
        <v>1.875</v>
      </c>
      <c r="T27" s="6" t="s">
        <v>293</v>
      </c>
      <c r="U27" s="12" t="s">
        <v>5</v>
      </c>
      <c r="V27" s="16" t="s">
        <v>29</v>
      </c>
      <c r="W27" s="23">
        <v>10</v>
      </c>
      <c r="X27" s="88">
        <v>1.4285714285714286</v>
      </c>
      <c r="Y27" s="6" t="s">
        <v>293</v>
      </c>
    </row>
    <row r="28" spans="1:25" ht="22.5" customHeight="1" x14ac:dyDescent="0.3">
      <c r="C28" s="23"/>
      <c r="D28" s="38"/>
      <c r="P28" s="25" t="s">
        <v>5</v>
      </c>
      <c r="Q28" s="16" t="s">
        <v>90</v>
      </c>
      <c r="R28" s="23">
        <v>13</v>
      </c>
      <c r="S28" s="88">
        <v>1.625</v>
      </c>
      <c r="T28" s="6" t="s">
        <v>293</v>
      </c>
      <c r="U28" s="105" t="s">
        <v>6</v>
      </c>
      <c r="V28" s="106" t="s">
        <v>284</v>
      </c>
      <c r="W28" s="99">
        <v>6</v>
      </c>
      <c r="X28" s="100">
        <v>0.8571428571428571</v>
      </c>
      <c r="Y28" s="6" t="s">
        <v>293</v>
      </c>
    </row>
    <row r="29" spans="1:25" ht="22.5" customHeight="1" x14ac:dyDescent="0.3">
      <c r="A29" s="7" t="s">
        <v>0</v>
      </c>
      <c r="B29" s="8" t="s">
        <v>115</v>
      </c>
      <c r="F29" s="7" t="s">
        <v>0</v>
      </c>
      <c r="G29" s="8" t="s">
        <v>115</v>
      </c>
      <c r="P29" s="25" t="s">
        <v>6</v>
      </c>
      <c r="Q29" s="16" t="s">
        <v>288</v>
      </c>
      <c r="R29" s="23">
        <v>12</v>
      </c>
      <c r="S29" s="88">
        <v>1.5</v>
      </c>
      <c r="T29" s="6" t="s">
        <v>293</v>
      </c>
      <c r="U29" s="129" t="s">
        <v>7</v>
      </c>
      <c r="V29" s="130" t="s">
        <v>23</v>
      </c>
      <c r="W29" s="133">
        <v>5</v>
      </c>
      <c r="X29" s="134">
        <v>0.7142857142857143</v>
      </c>
      <c r="Y29" s="6"/>
    </row>
    <row r="30" spans="1:25" ht="22.5" customHeight="1" x14ac:dyDescent="0.3">
      <c r="A30" s="198" t="s">
        <v>522</v>
      </c>
      <c r="B30" s="199"/>
      <c r="C30" s="22" t="s">
        <v>168</v>
      </c>
      <c r="D30" s="27" t="s">
        <v>167</v>
      </c>
      <c r="F30" s="198" t="s">
        <v>523</v>
      </c>
      <c r="G30" s="199"/>
      <c r="H30" s="22" t="s">
        <v>168</v>
      </c>
      <c r="I30" s="27" t="s">
        <v>167</v>
      </c>
      <c r="P30" s="25" t="s">
        <v>7</v>
      </c>
      <c r="Q30" s="16" t="s">
        <v>289</v>
      </c>
      <c r="R30" s="23">
        <v>6</v>
      </c>
      <c r="S30" s="88">
        <v>0.75</v>
      </c>
      <c r="T30" s="6" t="s">
        <v>293</v>
      </c>
      <c r="U30" s="14" t="s">
        <v>8</v>
      </c>
      <c r="V30" s="33" t="s">
        <v>18</v>
      </c>
      <c r="W30" s="89">
        <v>0</v>
      </c>
      <c r="X30" s="90">
        <v>0</v>
      </c>
      <c r="Y30" s="6" t="s">
        <v>293</v>
      </c>
    </row>
    <row r="31" spans="1:25" ht="22.5" customHeight="1" x14ac:dyDescent="0.3">
      <c r="A31" s="10" t="s">
        <v>1</v>
      </c>
      <c r="B31" s="11" t="s">
        <v>28</v>
      </c>
      <c r="C31" s="23">
        <v>6</v>
      </c>
      <c r="D31" s="46">
        <v>1</v>
      </c>
      <c r="F31" s="10" t="s">
        <v>1</v>
      </c>
      <c r="G31" s="11" t="s">
        <v>282</v>
      </c>
      <c r="H31" s="23">
        <v>0</v>
      </c>
      <c r="I31" s="46">
        <v>0</v>
      </c>
      <c r="P31" s="25" t="s">
        <v>8</v>
      </c>
      <c r="Q31" s="16" t="s">
        <v>187</v>
      </c>
      <c r="R31" s="23">
        <v>4</v>
      </c>
      <c r="S31" s="88">
        <v>0.5</v>
      </c>
      <c r="T31" s="6" t="s">
        <v>293</v>
      </c>
    </row>
    <row r="32" spans="1:25" ht="22.5" customHeight="1" x14ac:dyDescent="0.3">
      <c r="A32" s="12" t="s">
        <v>2</v>
      </c>
      <c r="B32" s="13" t="s">
        <v>331</v>
      </c>
      <c r="C32" s="23">
        <v>6</v>
      </c>
      <c r="D32" s="46">
        <v>1</v>
      </c>
      <c r="F32" s="12" t="s">
        <v>2</v>
      </c>
      <c r="G32" s="13" t="s">
        <v>283</v>
      </c>
      <c r="H32" s="23">
        <v>15</v>
      </c>
      <c r="I32" s="46">
        <v>2.1428571428571428</v>
      </c>
      <c r="P32" s="26" t="s">
        <v>9</v>
      </c>
      <c r="Q32" s="33" t="s">
        <v>290</v>
      </c>
      <c r="R32" s="89">
        <v>4</v>
      </c>
      <c r="S32" s="90">
        <v>0.5</v>
      </c>
      <c r="T32" s="6" t="s">
        <v>293</v>
      </c>
    </row>
    <row r="33" spans="1:9" ht="22.5" customHeight="1" x14ac:dyDescent="0.3">
      <c r="A33" s="12" t="s">
        <v>3</v>
      </c>
      <c r="B33" s="13" t="s">
        <v>428</v>
      </c>
      <c r="C33" s="23">
        <v>9</v>
      </c>
      <c r="D33" s="46">
        <v>1.2857142857142858</v>
      </c>
      <c r="F33" s="12" t="s">
        <v>3</v>
      </c>
      <c r="G33" s="13" t="s">
        <v>29</v>
      </c>
      <c r="H33" s="23">
        <v>10</v>
      </c>
      <c r="I33" s="46">
        <v>1.4285714285714286</v>
      </c>
    </row>
    <row r="34" spans="1:9" ht="22.5" customHeight="1" x14ac:dyDescent="0.3">
      <c r="A34" s="12" t="s">
        <v>4</v>
      </c>
      <c r="B34" s="13" t="s">
        <v>191</v>
      </c>
      <c r="C34" s="23">
        <v>9</v>
      </c>
      <c r="D34" s="46">
        <v>1.2857142857142858</v>
      </c>
      <c r="F34" s="12" t="s">
        <v>4</v>
      </c>
      <c r="G34" s="13" t="s">
        <v>284</v>
      </c>
      <c r="H34" s="23">
        <v>6</v>
      </c>
      <c r="I34" s="46">
        <v>0.8571428571428571</v>
      </c>
    </row>
    <row r="35" spans="1:9" ht="22.5" customHeight="1" x14ac:dyDescent="0.3">
      <c r="A35" s="12" t="s">
        <v>5</v>
      </c>
      <c r="B35" s="13" t="s">
        <v>280</v>
      </c>
      <c r="C35" s="23">
        <v>9</v>
      </c>
      <c r="D35" s="46">
        <v>1.2857142857142858</v>
      </c>
      <c r="F35" s="14" t="s">
        <v>5</v>
      </c>
      <c r="G35" s="15" t="s">
        <v>18</v>
      </c>
      <c r="H35" s="23">
        <v>0</v>
      </c>
      <c r="I35" s="46">
        <v>0</v>
      </c>
    </row>
    <row r="36" spans="1:9" ht="22.5" customHeight="1" x14ac:dyDescent="0.3">
      <c r="A36" s="14" t="s">
        <v>6</v>
      </c>
      <c r="B36" s="15" t="s">
        <v>281</v>
      </c>
      <c r="C36" s="23">
        <v>6</v>
      </c>
      <c r="D36" s="46">
        <v>0.8571428571428571</v>
      </c>
      <c r="F36" s="5"/>
      <c r="G36" s="16"/>
      <c r="H36" s="23"/>
      <c r="I36" s="46"/>
    </row>
    <row r="37" spans="1:9" ht="22.5" customHeight="1" x14ac:dyDescent="0.3"/>
    <row r="38" spans="1:9" ht="22.5" customHeight="1" x14ac:dyDescent="0.3"/>
    <row r="39" spans="1:9" ht="22.5" customHeight="1" x14ac:dyDescent="0.3"/>
    <row r="40" spans="1:9" ht="22.5" customHeight="1" x14ac:dyDescent="0.3"/>
    <row r="41" spans="1:9" ht="22.5" customHeight="1" x14ac:dyDescent="0.3"/>
    <row r="42" spans="1:9" ht="22.5" customHeight="1" x14ac:dyDescent="0.3"/>
    <row r="43" spans="1:9" ht="22.5" customHeight="1" x14ac:dyDescent="0.3"/>
    <row r="44" spans="1:9" ht="22.5" customHeight="1" x14ac:dyDescent="0.3"/>
    <row r="45" spans="1:9" ht="22.5" customHeight="1" x14ac:dyDescent="0.3"/>
    <row r="46" spans="1:9" ht="22.5" customHeight="1" x14ac:dyDescent="0.3"/>
    <row r="47" spans="1:9" ht="22.5" customHeight="1" x14ac:dyDescent="0.3"/>
    <row r="48" spans="1:9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</sheetData>
  <sortState xmlns:xlrd2="http://schemas.microsoft.com/office/spreadsheetml/2017/richdata2" ref="B17:D19">
    <sortCondition descending="1" ref="D17:D19"/>
  </sortState>
  <mergeCells count="7">
    <mergeCell ref="A18:B18"/>
    <mergeCell ref="F18:G18"/>
    <mergeCell ref="A30:B30"/>
    <mergeCell ref="F30:G30"/>
    <mergeCell ref="A1:G1"/>
    <mergeCell ref="A4:B4"/>
    <mergeCell ref="F4:G4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7" fitToHeight="0" orientation="landscape" r:id="rId1"/>
  <headerFooter alignWithMargins="0">
    <oddFooter>&amp;R&amp;"Arial Narrow,Standard"Seite &amp;P von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437B-B991-4635-B27E-C681C4EE7377}">
  <sheetPr>
    <pageSetUpPr fitToPage="1"/>
  </sheetPr>
  <dimension ref="A1:Y120"/>
  <sheetViews>
    <sheetView zoomScale="80" zoomScaleNormal="80" zoomScaleSheetLayoutView="50" zoomScalePageLayoutView="80" workbookViewId="0">
      <selection activeCell="L2" sqref="L2"/>
    </sheetView>
  </sheetViews>
  <sheetFormatPr baseColWidth="10" defaultColWidth="11.42578125" defaultRowHeight="18.75" x14ac:dyDescent="0.3"/>
  <cols>
    <col min="1" max="1" width="4.5703125" style="19" bestFit="1" customWidth="1"/>
    <col min="2" max="2" width="50" style="4" customWidth="1"/>
    <col min="3" max="3" width="7.42578125" style="4" bestFit="1" customWidth="1"/>
    <col min="4" max="4" width="4.7109375" style="38" bestFit="1" customWidth="1"/>
    <col min="5" max="5" width="6.42578125" style="4" customWidth="1"/>
    <col min="6" max="6" width="4.5703125" style="19" bestFit="1" customWidth="1"/>
    <col min="7" max="7" width="50" style="4" customWidth="1"/>
    <col min="8" max="8" width="7.42578125" style="38" bestFit="1" customWidth="1"/>
    <col min="9" max="9" width="4.7109375" style="38" bestFit="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7.42578125" style="4" bestFit="1" customWidth="1"/>
    <col min="14" max="14" width="4.7109375" style="38" bestFit="1" customWidth="1"/>
    <col min="15" max="15" width="8.5703125" style="4" customWidth="1"/>
    <col min="16" max="16" width="4.28515625" style="4" customWidth="1"/>
    <col min="17" max="17" width="42.85546875" style="4" customWidth="1"/>
    <col min="18" max="18" width="7.42578125" style="19" bestFit="1" customWidth="1"/>
    <col min="19" max="19" width="5.7109375" style="28" bestFit="1" customWidth="1"/>
    <col min="20" max="20" width="11.42578125" style="66"/>
    <col min="21" max="21" width="4.42578125" style="4" bestFit="1" customWidth="1"/>
    <col min="22" max="22" width="42.85546875" style="60" customWidth="1"/>
    <col min="23" max="23" width="7.42578125" style="19" bestFit="1" customWidth="1"/>
    <col min="24" max="24" width="5.7109375" style="28" bestFit="1" customWidth="1"/>
    <col min="25" max="25" width="11.42578125" style="66"/>
    <col min="26" max="16384" width="11.42578125" style="4"/>
  </cols>
  <sheetData>
    <row r="1" spans="1:25" ht="30" customHeight="1" x14ac:dyDescent="0.5">
      <c r="A1" s="204" t="s">
        <v>295</v>
      </c>
      <c r="B1" s="204"/>
      <c r="C1" s="204"/>
      <c r="D1" s="204"/>
      <c r="E1" s="204"/>
      <c r="F1" s="204"/>
      <c r="G1" s="204"/>
      <c r="H1" s="34"/>
      <c r="I1" s="47"/>
      <c r="J1" s="1"/>
      <c r="K1" s="1"/>
      <c r="L1" s="2" t="s">
        <v>541</v>
      </c>
      <c r="M1" s="2"/>
      <c r="N1" s="48"/>
      <c r="O1" s="2"/>
      <c r="P1" s="3"/>
      <c r="Q1" s="120" t="s">
        <v>312</v>
      </c>
      <c r="S1" s="46" t="s">
        <v>292</v>
      </c>
      <c r="T1" s="188">
        <f>COUNTIF($T$6:T$52,S1)</f>
        <v>10</v>
      </c>
      <c r="U1" s="70"/>
      <c r="V1" s="79"/>
      <c r="W1" s="23"/>
      <c r="X1" s="46" t="s">
        <v>292</v>
      </c>
      <c r="Y1" s="188">
        <f>COUNTIF($Y$6:$Y$52,X1)</f>
        <v>10</v>
      </c>
    </row>
    <row r="2" spans="1:25" s="6" customFormat="1" ht="36.75" customHeight="1" x14ac:dyDescent="0.25">
      <c r="A2" s="5"/>
      <c r="D2" s="35"/>
      <c r="F2" s="5"/>
      <c r="H2" s="35"/>
      <c r="I2" s="35"/>
      <c r="K2" s="5"/>
      <c r="N2" s="35"/>
      <c r="Q2" s="109" t="s">
        <v>294</v>
      </c>
      <c r="R2" s="5"/>
      <c r="S2" s="46" t="s">
        <v>293</v>
      </c>
      <c r="T2" s="188">
        <f>COUNTIF($T$6:T$52,S2)</f>
        <v>21</v>
      </c>
      <c r="U2" s="70"/>
      <c r="V2" s="70"/>
      <c r="W2" s="23"/>
      <c r="X2" s="46" t="s">
        <v>293</v>
      </c>
      <c r="Y2" s="188">
        <f>COUNTIF($Y$6:$Y$52,X2)</f>
        <v>26</v>
      </c>
    </row>
    <row r="3" spans="1:25" s="6" customFormat="1" ht="21.75" customHeight="1" x14ac:dyDescent="0.3">
      <c r="A3" s="7" t="s">
        <v>0</v>
      </c>
      <c r="B3" s="8" t="s">
        <v>119</v>
      </c>
      <c r="C3" s="8"/>
      <c r="D3" s="36"/>
      <c r="F3" s="7" t="s">
        <v>0</v>
      </c>
      <c r="G3" s="8" t="s">
        <v>114</v>
      </c>
      <c r="H3" s="8"/>
      <c r="I3" s="36"/>
      <c r="K3" s="7"/>
      <c r="L3" s="8"/>
      <c r="M3" s="8"/>
      <c r="N3" s="36"/>
      <c r="O3" s="4"/>
      <c r="Q3" s="142" t="s">
        <v>430</v>
      </c>
      <c r="R3" s="5"/>
      <c r="S3" s="29"/>
      <c r="W3" s="5"/>
      <c r="X3" s="29"/>
    </row>
    <row r="4" spans="1:25" s="9" customFormat="1" ht="21.75" customHeight="1" x14ac:dyDescent="0.25">
      <c r="A4" s="198" t="s">
        <v>173</v>
      </c>
      <c r="B4" s="199"/>
      <c r="C4" s="22" t="s">
        <v>168</v>
      </c>
      <c r="D4" s="27" t="s">
        <v>167</v>
      </c>
      <c r="F4" s="198" t="s">
        <v>174</v>
      </c>
      <c r="G4" s="199"/>
      <c r="H4" s="22" t="s">
        <v>168</v>
      </c>
      <c r="I4" s="27" t="s">
        <v>167</v>
      </c>
      <c r="J4" s="22"/>
      <c r="L4" s="8"/>
      <c r="M4" s="8"/>
      <c r="N4" s="36"/>
      <c r="O4" s="8"/>
      <c r="P4" s="6"/>
      <c r="Q4" s="16"/>
      <c r="R4" s="5"/>
      <c r="S4" s="29"/>
      <c r="T4" s="6"/>
      <c r="U4" s="6"/>
      <c r="V4" s="6"/>
      <c r="W4" s="5"/>
      <c r="X4" s="29"/>
      <c r="Y4" s="6"/>
    </row>
    <row r="5" spans="1:25" s="6" customFormat="1" ht="21.75" customHeight="1" x14ac:dyDescent="0.3">
      <c r="A5" s="10" t="s">
        <v>1</v>
      </c>
      <c r="B5" s="11" t="s">
        <v>62</v>
      </c>
      <c r="C5" s="23">
        <v>19</v>
      </c>
      <c r="D5" s="24">
        <v>2.375</v>
      </c>
      <c r="F5" s="10" t="s">
        <v>1</v>
      </c>
      <c r="G5" s="11" t="s">
        <v>21</v>
      </c>
      <c r="H5" s="23">
        <v>21</v>
      </c>
      <c r="I5" s="23">
        <v>3</v>
      </c>
      <c r="J5" s="24"/>
      <c r="L5" s="8"/>
      <c r="M5" s="8"/>
      <c r="N5" s="36"/>
      <c r="O5" s="8"/>
      <c r="P5" s="4"/>
      <c r="Q5" s="111" t="s">
        <v>170</v>
      </c>
      <c r="R5" s="22" t="s">
        <v>168</v>
      </c>
      <c r="S5" s="27" t="s">
        <v>167</v>
      </c>
      <c r="T5" s="59"/>
      <c r="U5" s="111"/>
      <c r="V5" s="110" t="s">
        <v>171</v>
      </c>
      <c r="W5" s="22" t="s">
        <v>168</v>
      </c>
      <c r="X5" s="27" t="s">
        <v>167</v>
      </c>
    </row>
    <row r="6" spans="1:25" s="6" customFormat="1" ht="21.75" customHeight="1" x14ac:dyDescent="0.25">
      <c r="A6" s="12" t="s">
        <v>2</v>
      </c>
      <c r="B6" s="13" t="s">
        <v>72</v>
      </c>
      <c r="C6" s="23">
        <v>19</v>
      </c>
      <c r="D6" s="24">
        <v>2.375</v>
      </c>
      <c r="F6" s="12" t="s">
        <v>2</v>
      </c>
      <c r="G6" s="13" t="s">
        <v>248</v>
      </c>
      <c r="H6" s="23">
        <v>18</v>
      </c>
      <c r="I6" s="23">
        <v>2.5714285714285716</v>
      </c>
      <c r="J6" s="24"/>
      <c r="L6" s="8"/>
      <c r="M6" s="8"/>
      <c r="N6" s="36"/>
      <c r="O6" s="8"/>
      <c r="P6" s="62" t="s">
        <v>1</v>
      </c>
      <c r="Q6" s="64" t="s">
        <v>62</v>
      </c>
      <c r="R6" s="112">
        <v>19</v>
      </c>
      <c r="S6" s="113">
        <v>2.375</v>
      </c>
      <c r="T6" s="16" t="s">
        <v>292</v>
      </c>
      <c r="U6" s="62" t="s">
        <v>1</v>
      </c>
      <c r="V6" s="64" t="s">
        <v>21</v>
      </c>
      <c r="W6" s="112">
        <v>21</v>
      </c>
      <c r="X6" s="113">
        <v>3</v>
      </c>
      <c r="Y6" s="6" t="s">
        <v>292</v>
      </c>
    </row>
    <row r="7" spans="1:25" s="6" customFormat="1" ht="21.75" customHeight="1" x14ac:dyDescent="0.25">
      <c r="A7" s="12" t="s">
        <v>3</v>
      </c>
      <c r="B7" s="13" t="s">
        <v>59</v>
      </c>
      <c r="C7" s="23">
        <v>17</v>
      </c>
      <c r="D7" s="24">
        <v>2.125</v>
      </c>
      <c r="F7" s="12" t="s">
        <v>3</v>
      </c>
      <c r="G7" s="13" t="s">
        <v>37</v>
      </c>
      <c r="H7" s="23">
        <v>15</v>
      </c>
      <c r="I7" s="23">
        <v>2.1428571428571428</v>
      </c>
      <c r="J7" s="24"/>
      <c r="L7" s="8"/>
      <c r="M7" s="8"/>
      <c r="N7" s="36"/>
      <c r="O7" s="8"/>
      <c r="P7" s="25" t="s">
        <v>2</v>
      </c>
      <c r="Q7" s="16" t="s">
        <v>72</v>
      </c>
      <c r="R7" s="40">
        <v>19</v>
      </c>
      <c r="S7" s="114">
        <v>2.375</v>
      </c>
      <c r="T7" s="16" t="s">
        <v>292</v>
      </c>
      <c r="U7" s="25" t="s">
        <v>2</v>
      </c>
      <c r="V7" s="16" t="s">
        <v>248</v>
      </c>
      <c r="W7" s="40">
        <v>18</v>
      </c>
      <c r="X7" s="114">
        <v>2.5714285714285716</v>
      </c>
      <c r="Y7" s="6" t="s">
        <v>292</v>
      </c>
    </row>
    <row r="8" spans="1:25" s="6" customFormat="1" ht="21.75" customHeight="1" x14ac:dyDescent="0.25">
      <c r="A8" s="12" t="s">
        <v>4</v>
      </c>
      <c r="B8" s="13" t="s">
        <v>30</v>
      </c>
      <c r="C8" s="23">
        <v>7</v>
      </c>
      <c r="D8" s="24">
        <v>0.875</v>
      </c>
      <c r="F8" s="12" t="s">
        <v>4</v>
      </c>
      <c r="G8" s="13" t="s">
        <v>34</v>
      </c>
      <c r="H8" s="23">
        <v>16</v>
      </c>
      <c r="I8" s="23">
        <v>2.2857142857142856</v>
      </c>
      <c r="J8" s="24"/>
      <c r="L8" s="8"/>
      <c r="M8" s="8"/>
      <c r="N8" s="36"/>
      <c r="O8" s="8"/>
      <c r="P8" s="25" t="s">
        <v>3</v>
      </c>
      <c r="Q8" s="16" t="s">
        <v>59</v>
      </c>
      <c r="R8" s="40">
        <v>17</v>
      </c>
      <c r="S8" s="114">
        <v>2.125</v>
      </c>
      <c r="T8" s="16" t="s">
        <v>292</v>
      </c>
      <c r="U8" s="25" t="s">
        <v>3</v>
      </c>
      <c r="V8" s="16" t="s">
        <v>37</v>
      </c>
      <c r="W8" s="40">
        <v>15</v>
      </c>
      <c r="X8" s="114">
        <v>2.1428571428571428</v>
      </c>
      <c r="Y8" s="6" t="s">
        <v>292</v>
      </c>
    </row>
    <row r="9" spans="1:25" s="6" customFormat="1" ht="21.75" customHeight="1" x14ac:dyDescent="0.25">
      <c r="A9" s="12" t="s">
        <v>5</v>
      </c>
      <c r="B9" s="13" t="s">
        <v>298</v>
      </c>
      <c r="C9" s="23">
        <v>24</v>
      </c>
      <c r="D9" s="24">
        <v>3</v>
      </c>
      <c r="F9" s="12" t="s">
        <v>5</v>
      </c>
      <c r="G9" s="13" t="s">
        <v>316</v>
      </c>
      <c r="H9" s="23">
        <v>15</v>
      </c>
      <c r="I9" s="23">
        <v>2.1428571428571428</v>
      </c>
      <c r="J9" s="24"/>
      <c r="L9" s="8"/>
      <c r="M9" s="8"/>
      <c r="N9" s="36"/>
      <c r="O9" s="8"/>
      <c r="P9" s="103" t="s">
        <v>4</v>
      </c>
      <c r="Q9" s="106" t="s">
        <v>296</v>
      </c>
      <c r="R9" s="121">
        <v>17</v>
      </c>
      <c r="S9" s="122">
        <v>2.4285714285714284</v>
      </c>
      <c r="T9" s="16" t="s">
        <v>293</v>
      </c>
      <c r="U9" s="25" t="s">
        <v>4</v>
      </c>
      <c r="V9" s="16" t="s">
        <v>314</v>
      </c>
      <c r="W9" s="40">
        <v>10</v>
      </c>
      <c r="X9" s="114">
        <v>1.4285714285714286</v>
      </c>
      <c r="Y9" s="6" t="s">
        <v>293</v>
      </c>
    </row>
    <row r="10" spans="1:25" s="6" customFormat="1" ht="21.75" customHeight="1" x14ac:dyDescent="0.25">
      <c r="A10" s="12" t="s">
        <v>6</v>
      </c>
      <c r="B10" s="13" t="s">
        <v>299</v>
      </c>
      <c r="C10" s="23">
        <v>19</v>
      </c>
      <c r="D10" s="24">
        <v>2.375</v>
      </c>
      <c r="F10" s="12" t="s">
        <v>6</v>
      </c>
      <c r="G10" s="13" t="s">
        <v>319</v>
      </c>
      <c r="H10" s="23">
        <v>18</v>
      </c>
      <c r="I10" s="23">
        <v>3</v>
      </c>
      <c r="J10" s="24"/>
      <c r="L10" s="8"/>
      <c r="M10" s="8"/>
      <c r="N10" s="36"/>
      <c r="O10" s="8"/>
      <c r="P10" s="103" t="s">
        <v>5</v>
      </c>
      <c r="Q10" s="106" t="s">
        <v>63</v>
      </c>
      <c r="R10" s="121">
        <v>10</v>
      </c>
      <c r="S10" s="122">
        <v>1.25</v>
      </c>
      <c r="T10" s="16" t="s">
        <v>293</v>
      </c>
      <c r="U10" s="25" t="s">
        <v>5</v>
      </c>
      <c r="V10" s="16" t="s">
        <v>284</v>
      </c>
      <c r="W10" s="40">
        <v>9</v>
      </c>
      <c r="X10" s="114">
        <v>1.2857142857142858</v>
      </c>
      <c r="Y10" s="6" t="s">
        <v>293</v>
      </c>
    </row>
    <row r="11" spans="1:25" s="6" customFormat="1" ht="21.75" customHeight="1" x14ac:dyDescent="0.25">
      <c r="A11" s="12" t="s">
        <v>7</v>
      </c>
      <c r="B11" s="13" t="s">
        <v>300</v>
      </c>
      <c r="C11" s="23">
        <v>16</v>
      </c>
      <c r="D11" s="24">
        <v>2</v>
      </c>
      <c r="F11" s="12" t="s">
        <v>7</v>
      </c>
      <c r="G11" s="13" t="s">
        <v>11</v>
      </c>
      <c r="H11" s="23">
        <v>15</v>
      </c>
      <c r="I11" s="23">
        <v>2.5</v>
      </c>
      <c r="J11" s="24"/>
      <c r="L11" s="8"/>
      <c r="M11" s="8"/>
      <c r="N11" s="36"/>
      <c r="O11" s="8"/>
      <c r="P11" s="25" t="s">
        <v>6</v>
      </c>
      <c r="Q11" s="16" t="s">
        <v>30</v>
      </c>
      <c r="R11" s="40">
        <v>7</v>
      </c>
      <c r="S11" s="114">
        <v>0.875</v>
      </c>
      <c r="T11" s="16" t="s">
        <v>292</v>
      </c>
      <c r="U11" s="25" t="s">
        <v>6</v>
      </c>
      <c r="V11" s="16" t="s">
        <v>198</v>
      </c>
      <c r="W11" s="40">
        <v>4</v>
      </c>
      <c r="X11" s="114">
        <v>0.66666666666666663</v>
      </c>
      <c r="Y11" s="6" t="s">
        <v>293</v>
      </c>
    </row>
    <row r="12" spans="1:25" s="6" customFormat="1" ht="21.75" customHeight="1" x14ac:dyDescent="0.25">
      <c r="A12" s="12" t="s">
        <v>8</v>
      </c>
      <c r="B12" s="13" t="s">
        <v>301</v>
      </c>
      <c r="C12" s="23">
        <v>13</v>
      </c>
      <c r="D12" s="24">
        <v>1.625</v>
      </c>
      <c r="F12" s="12" t="s">
        <v>8</v>
      </c>
      <c r="G12" s="13" t="s">
        <v>323</v>
      </c>
      <c r="H12" s="23">
        <v>18</v>
      </c>
      <c r="I12" s="23">
        <v>2.5714285714285716</v>
      </c>
      <c r="J12" s="24"/>
      <c r="O12" s="8"/>
      <c r="P12" s="25" t="s">
        <v>7</v>
      </c>
      <c r="Q12" s="16" t="s">
        <v>60</v>
      </c>
      <c r="R12" s="40">
        <v>6</v>
      </c>
      <c r="S12" s="114">
        <v>0.75</v>
      </c>
      <c r="T12" s="16" t="s">
        <v>293</v>
      </c>
      <c r="U12" s="25" t="s">
        <v>7</v>
      </c>
      <c r="V12" s="16" t="s">
        <v>315</v>
      </c>
      <c r="W12" s="40">
        <v>3</v>
      </c>
      <c r="X12" s="114">
        <v>0.42857142857142855</v>
      </c>
      <c r="Y12" s="6" t="s">
        <v>293</v>
      </c>
    </row>
    <row r="13" spans="1:25" s="6" customFormat="1" ht="21.75" customHeight="1" x14ac:dyDescent="0.25">
      <c r="A13" s="12" t="s">
        <v>9</v>
      </c>
      <c r="B13" s="13" t="s">
        <v>302</v>
      </c>
      <c r="C13" s="23">
        <v>13</v>
      </c>
      <c r="D13" s="24">
        <v>1.625</v>
      </c>
      <c r="F13" s="12" t="s">
        <v>9</v>
      </c>
      <c r="G13" s="13" t="s">
        <v>324</v>
      </c>
      <c r="H13" s="23">
        <v>15</v>
      </c>
      <c r="I13" s="23">
        <v>2.1428571428571428</v>
      </c>
      <c r="J13" s="24"/>
      <c r="L13" s="8"/>
      <c r="M13" s="8"/>
      <c r="N13" s="36"/>
      <c r="O13" s="8"/>
      <c r="P13" s="25" t="s">
        <v>8</v>
      </c>
      <c r="Q13" s="16" t="s">
        <v>74</v>
      </c>
      <c r="R13" s="40">
        <v>6</v>
      </c>
      <c r="S13" s="114">
        <v>0.75</v>
      </c>
      <c r="T13" s="16" t="s">
        <v>293</v>
      </c>
      <c r="U13" s="137" t="s">
        <v>8</v>
      </c>
      <c r="V13" s="138" t="s">
        <v>283</v>
      </c>
      <c r="W13" s="139">
        <v>0</v>
      </c>
      <c r="X13" s="140">
        <v>0</v>
      </c>
      <c r="Y13" s="6" t="s">
        <v>293</v>
      </c>
    </row>
    <row r="14" spans="1:25" s="6" customFormat="1" ht="21.75" customHeight="1" x14ac:dyDescent="0.25">
      <c r="A14" s="14" t="s">
        <v>10</v>
      </c>
      <c r="B14" s="15" t="s">
        <v>68</v>
      </c>
      <c r="C14" s="23">
        <v>6</v>
      </c>
      <c r="D14" s="24">
        <v>0.75</v>
      </c>
      <c r="F14" s="14" t="s">
        <v>10</v>
      </c>
      <c r="G14" s="15" t="s">
        <v>325</v>
      </c>
      <c r="H14" s="23">
        <v>15</v>
      </c>
      <c r="I14" s="23">
        <v>2.1428571428571428</v>
      </c>
      <c r="J14" s="24"/>
      <c r="L14" s="8"/>
      <c r="M14" s="8"/>
      <c r="N14" s="36"/>
      <c r="O14" s="8"/>
      <c r="P14" s="25" t="s">
        <v>9</v>
      </c>
      <c r="Q14" s="16" t="s">
        <v>56</v>
      </c>
      <c r="R14" s="40">
        <v>0</v>
      </c>
      <c r="S14" s="114">
        <v>0</v>
      </c>
      <c r="T14" s="16" t="s">
        <v>293</v>
      </c>
      <c r="U14" s="16"/>
      <c r="V14" s="16"/>
      <c r="W14" s="40"/>
      <c r="X14" s="41"/>
    </row>
    <row r="15" spans="1:25" s="6" customFormat="1" ht="21.75" customHeight="1" x14ac:dyDescent="0.25">
      <c r="D15" s="35"/>
      <c r="H15" s="35"/>
      <c r="I15" s="35"/>
      <c r="K15" s="5"/>
      <c r="L15" s="16"/>
      <c r="M15" s="16"/>
      <c r="N15" s="37"/>
      <c r="O15" s="16"/>
      <c r="P15" s="104" t="s">
        <v>10</v>
      </c>
      <c r="Q15" s="107" t="s">
        <v>297</v>
      </c>
      <c r="R15" s="117">
        <v>0</v>
      </c>
      <c r="S15" s="118"/>
      <c r="T15" s="16"/>
      <c r="U15" s="62" t="s">
        <v>1</v>
      </c>
      <c r="V15" s="64" t="s">
        <v>34</v>
      </c>
      <c r="W15" s="112">
        <v>16</v>
      </c>
      <c r="X15" s="113">
        <v>2.2857142857142856</v>
      </c>
      <c r="Y15" s="6" t="s">
        <v>292</v>
      </c>
    </row>
    <row r="16" spans="1:25" s="6" customFormat="1" ht="21.75" customHeight="1" x14ac:dyDescent="0.25">
      <c r="D16" s="35"/>
      <c r="H16" s="35"/>
      <c r="I16" s="35"/>
      <c r="K16" s="5"/>
      <c r="L16" s="16"/>
      <c r="M16" s="16"/>
      <c r="N16" s="37"/>
      <c r="O16" s="16"/>
      <c r="Q16" s="16"/>
      <c r="R16" s="40"/>
      <c r="S16" s="41"/>
      <c r="T16" s="16"/>
      <c r="U16" s="103" t="s">
        <v>2</v>
      </c>
      <c r="V16" s="106" t="s">
        <v>35</v>
      </c>
      <c r="W16" s="121">
        <v>16</v>
      </c>
      <c r="X16" s="122">
        <v>2.2857142857142856</v>
      </c>
      <c r="Y16" s="6" t="s">
        <v>293</v>
      </c>
    </row>
    <row r="17" spans="1:25" s="6" customFormat="1" ht="21.75" customHeight="1" x14ac:dyDescent="0.25">
      <c r="A17" s="7" t="s">
        <v>0</v>
      </c>
      <c r="B17" s="8" t="s">
        <v>119</v>
      </c>
      <c r="C17" s="8"/>
      <c r="D17" s="36"/>
      <c r="F17" s="7" t="s">
        <v>0</v>
      </c>
      <c r="G17" s="8" t="s">
        <v>119</v>
      </c>
      <c r="H17" s="36"/>
      <c r="I17" s="35"/>
      <c r="K17" s="7" t="s">
        <v>0</v>
      </c>
      <c r="L17" s="8" t="s">
        <v>114</v>
      </c>
      <c r="M17" s="9"/>
      <c r="N17" s="9"/>
      <c r="O17" s="8"/>
      <c r="P17" s="62" t="s">
        <v>1</v>
      </c>
      <c r="Q17" s="64" t="s">
        <v>298</v>
      </c>
      <c r="R17" s="112">
        <v>24</v>
      </c>
      <c r="S17" s="113">
        <v>3</v>
      </c>
      <c r="T17" s="16" t="s">
        <v>292</v>
      </c>
      <c r="U17" s="25" t="s">
        <v>3</v>
      </c>
      <c r="V17" s="16" t="s">
        <v>316</v>
      </c>
      <c r="W17" s="40">
        <v>15</v>
      </c>
      <c r="X17" s="114">
        <v>2.1428571428571428</v>
      </c>
      <c r="Y17" s="6" t="s">
        <v>292</v>
      </c>
    </row>
    <row r="18" spans="1:25" s="9" customFormat="1" ht="21.75" customHeight="1" x14ac:dyDescent="0.25">
      <c r="A18" s="198" t="s">
        <v>175</v>
      </c>
      <c r="B18" s="199"/>
      <c r="C18" s="22" t="s">
        <v>168</v>
      </c>
      <c r="D18" s="27" t="s">
        <v>167</v>
      </c>
      <c r="F18" s="198" t="s">
        <v>176</v>
      </c>
      <c r="G18" s="199"/>
      <c r="H18" s="22" t="s">
        <v>168</v>
      </c>
      <c r="I18" s="27" t="s">
        <v>167</v>
      </c>
      <c r="J18" s="22"/>
      <c r="K18" s="198" t="s">
        <v>313</v>
      </c>
      <c r="L18" s="199"/>
      <c r="M18" s="22" t="s">
        <v>168</v>
      </c>
      <c r="N18" s="27" t="s">
        <v>167</v>
      </c>
      <c r="O18" s="21"/>
      <c r="P18" s="25" t="s">
        <v>2</v>
      </c>
      <c r="Q18" s="16" t="s">
        <v>299</v>
      </c>
      <c r="R18" s="40">
        <v>19</v>
      </c>
      <c r="S18" s="114">
        <v>2.375</v>
      </c>
      <c r="T18" s="16" t="s">
        <v>292</v>
      </c>
      <c r="U18" s="25" t="s">
        <v>4</v>
      </c>
      <c r="V18" s="16" t="s">
        <v>13</v>
      </c>
      <c r="W18" s="40">
        <v>13</v>
      </c>
      <c r="X18" s="114">
        <v>1.8571428571428572</v>
      </c>
      <c r="Y18" s="6" t="s">
        <v>293</v>
      </c>
    </row>
    <row r="19" spans="1:25" s="6" customFormat="1" ht="21.75" customHeight="1" x14ac:dyDescent="0.25">
      <c r="A19" s="10" t="s">
        <v>1</v>
      </c>
      <c r="B19" s="11" t="s">
        <v>296</v>
      </c>
      <c r="C19" s="23">
        <v>17</v>
      </c>
      <c r="D19" s="24">
        <v>2.4285714285714284</v>
      </c>
      <c r="F19" s="10" t="s">
        <v>1</v>
      </c>
      <c r="G19" s="11" t="s">
        <v>303</v>
      </c>
      <c r="H19" s="23">
        <v>16</v>
      </c>
      <c r="I19" s="24">
        <v>2.2857142857142856</v>
      </c>
      <c r="K19" s="10" t="s">
        <v>1</v>
      </c>
      <c r="L19" s="11" t="s">
        <v>35</v>
      </c>
      <c r="M19" s="23">
        <v>16</v>
      </c>
      <c r="N19" s="46">
        <f t="shared" ref="N19:N26" si="0">VLOOKUP(L19,$V:$X,3,0)</f>
        <v>2.2857142857142856</v>
      </c>
      <c r="O19" s="16"/>
      <c r="P19" s="25" t="s">
        <v>3</v>
      </c>
      <c r="Q19" s="16" t="s">
        <v>300</v>
      </c>
      <c r="R19" s="40">
        <v>16</v>
      </c>
      <c r="S19" s="114">
        <v>2</v>
      </c>
      <c r="T19" s="16" t="s">
        <v>292</v>
      </c>
      <c r="U19" s="25" t="s">
        <v>5</v>
      </c>
      <c r="V19" s="16" t="s">
        <v>317</v>
      </c>
      <c r="W19" s="40">
        <v>13</v>
      </c>
      <c r="X19" s="114">
        <v>1.8571428571428572</v>
      </c>
      <c r="Y19" s="6" t="s">
        <v>293</v>
      </c>
    </row>
    <row r="20" spans="1:25" s="6" customFormat="1" ht="21.75" customHeight="1" x14ac:dyDescent="0.25">
      <c r="A20" s="12" t="s">
        <v>2</v>
      </c>
      <c r="B20" s="13" t="s">
        <v>63</v>
      </c>
      <c r="C20" s="23">
        <v>10</v>
      </c>
      <c r="D20" s="24">
        <v>1.25</v>
      </c>
      <c r="F20" s="12" t="s">
        <v>2</v>
      </c>
      <c r="G20" s="13" t="s">
        <v>90</v>
      </c>
      <c r="H20" s="23">
        <v>15</v>
      </c>
      <c r="I20" s="24">
        <v>2.1428571428571428</v>
      </c>
      <c r="K20" s="12" t="s">
        <v>2</v>
      </c>
      <c r="L20" s="13" t="s">
        <v>13</v>
      </c>
      <c r="M20" s="23">
        <v>13</v>
      </c>
      <c r="N20" s="46">
        <f t="shared" si="0"/>
        <v>1.8571428571428572</v>
      </c>
      <c r="O20" s="16"/>
      <c r="P20" s="25" t="s">
        <v>4</v>
      </c>
      <c r="Q20" s="16" t="s">
        <v>301</v>
      </c>
      <c r="R20" s="40">
        <v>13</v>
      </c>
      <c r="S20" s="114">
        <v>1.625</v>
      </c>
      <c r="T20" s="16" t="s">
        <v>292</v>
      </c>
      <c r="U20" s="141" t="s">
        <v>6</v>
      </c>
      <c r="V20" s="142" t="s">
        <v>26</v>
      </c>
      <c r="W20" s="143">
        <v>6</v>
      </c>
      <c r="X20" s="144">
        <v>0.8571428571428571</v>
      </c>
      <c r="Y20" s="6" t="s">
        <v>293</v>
      </c>
    </row>
    <row r="21" spans="1:25" s="6" customFormat="1" ht="21.75" customHeight="1" x14ac:dyDescent="0.25">
      <c r="A21" s="12" t="s">
        <v>3</v>
      </c>
      <c r="B21" s="13" t="s">
        <v>60</v>
      </c>
      <c r="C21" s="23">
        <v>6</v>
      </c>
      <c r="D21" s="24">
        <v>0.75</v>
      </c>
      <c r="F21" s="12" t="s">
        <v>3</v>
      </c>
      <c r="G21" s="13" t="s">
        <v>304</v>
      </c>
      <c r="H21" s="23">
        <v>14</v>
      </c>
      <c r="I21" s="24">
        <v>2</v>
      </c>
      <c r="K21" s="12" t="s">
        <v>3</v>
      </c>
      <c r="L21" s="13" t="s">
        <v>317</v>
      </c>
      <c r="M21" s="23">
        <v>13</v>
      </c>
      <c r="N21" s="46">
        <f t="shared" si="0"/>
        <v>1.8571428571428572</v>
      </c>
      <c r="O21" s="16"/>
      <c r="P21" s="25" t="s">
        <v>5</v>
      </c>
      <c r="Q21" s="16" t="s">
        <v>302</v>
      </c>
      <c r="R21" s="40">
        <v>13</v>
      </c>
      <c r="S21" s="114">
        <v>1.625</v>
      </c>
      <c r="T21" s="16" t="s">
        <v>292</v>
      </c>
      <c r="U21" s="129" t="s">
        <v>7</v>
      </c>
      <c r="V21" s="130" t="s">
        <v>318</v>
      </c>
      <c r="W21" s="131">
        <v>1</v>
      </c>
      <c r="X21" s="132">
        <v>0.14285714285714285</v>
      </c>
    </row>
    <row r="22" spans="1:25" s="6" customFormat="1" ht="21.75" customHeight="1" x14ac:dyDescent="0.25">
      <c r="A22" s="12" t="s">
        <v>4</v>
      </c>
      <c r="B22" s="13" t="s">
        <v>74</v>
      </c>
      <c r="C22" s="23">
        <v>6</v>
      </c>
      <c r="D22" s="24">
        <v>0.75</v>
      </c>
      <c r="F22" s="12" t="s">
        <v>4</v>
      </c>
      <c r="G22" s="13" t="s">
        <v>57</v>
      </c>
      <c r="H22" s="23">
        <v>10</v>
      </c>
      <c r="I22" s="24">
        <v>1.4285714285714286</v>
      </c>
      <c r="K22" s="12" t="s">
        <v>4</v>
      </c>
      <c r="L22" s="13" t="s">
        <v>320</v>
      </c>
      <c r="M22" s="23">
        <v>9</v>
      </c>
      <c r="N22" s="46">
        <f t="shared" si="0"/>
        <v>1.8</v>
      </c>
      <c r="O22" s="16"/>
      <c r="P22" s="25" t="s">
        <v>6</v>
      </c>
      <c r="Q22" s="16" t="s">
        <v>68</v>
      </c>
      <c r="R22" s="40">
        <v>6</v>
      </c>
      <c r="S22" s="114">
        <v>0.75</v>
      </c>
      <c r="T22" s="16" t="s">
        <v>292</v>
      </c>
      <c r="U22" s="26" t="s">
        <v>8</v>
      </c>
      <c r="V22" s="33" t="s">
        <v>177</v>
      </c>
      <c r="W22" s="115">
        <v>1</v>
      </c>
      <c r="X22" s="116">
        <v>0.14285714285714285</v>
      </c>
      <c r="Y22" s="6" t="s">
        <v>293</v>
      </c>
    </row>
    <row r="23" spans="1:25" s="6" customFormat="1" ht="21.75" customHeight="1" x14ac:dyDescent="0.25">
      <c r="A23" s="12" t="s">
        <v>5</v>
      </c>
      <c r="B23" s="13" t="s">
        <v>56</v>
      </c>
      <c r="C23" s="23">
        <v>0</v>
      </c>
      <c r="D23" s="24">
        <v>0</v>
      </c>
      <c r="F23" s="12" t="s">
        <v>5</v>
      </c>
      <c r="G23" s="13" t="s">
        <v>305</v>
      </c>
      <c r="H23" s="23">
        <v>9</v>
      </c>
      <c r="I23" s="24">
        <v>1.2857142857142858</v>
      </c>
      <c r="K23" s="12" t="s">
        <v>5</v>
      </c>
      <c r="L23" s="13" t="s">
        <v>330</v>
      </c>
      <c r="M23" s="23">
        <v>12</v>
      </c>
      <c r="N23" s="46">
        <f t="shared" si="0"/>
        <v>2.4</v>
      </c>
      <c r="O23" s="16"/>
      <c r="P23" s="25" t="s">
        <v>7</v>
      </c>
      <c r="Q23" s="16" t="s">
        <v>147</v>
      </c>
      <c r="R23" s="40">
        <v>6</v>
      </c>
      <c r="S23" s="114">
        <v>0.75</v>
      </c>
      <c r="T23" s="16" t="s">
        <v>293</v>
      </c>
      <c r="U23" s="16"/>
      <c r="V23" s="16"/>
      <c r="W23" s="40"/>
      <c r="X23" s="41"/>
    </row>
    <row r="24" spans="1:25" s="6" customFormat="1" ht="21.75" customHeight="1" x14ac:dyDescent="0.25">
      <c r="A24" s="12" t="s">
        <v>6</v>
      </c>
      <c r="B24" s="13" t="s">
        <v>147</v>
      </c>
      <c r="C24" s="23">
        <v>6</v>
      </c>
      <c r="D24" s="24">
        <v>0.75</v>
      </c>
      <c r="F24" s="12" t="s">
        <v>6</v>
      </c>
      <c r="G24" s="13" t="s">
        <v>429</v>
      </c>
      <c r="H24" s="23">
        <v>7</v>
      </c>
      <c r="I24" s="24">
        <v>1</v>
      </c>
      <c r="K24" s="12" t="s">
        <v>6</v>
      </c>
      <c r="L24" s="13" t="s">
        <v>314</v>
      </c>
      <c r="M24" s="23">
        <v>10</v>
      </c>
      <c r="N24" s="46">
        <f t="shared" si="0"/>
        <v>1.4285714285714286</v>
      </c>
      <c r="O24" s="16"/>
      <c r="P24" s="25" t="s">
        <v>8</v>
      </c>
      <c r="Q24" s="16" t="s">
        <v>54</v>
      </c>
      <c r="R24" s="40">
        <v>5</v>
      </c>
      <c r="S24" s="114">
        <v>0.625</v>
      </c>
      <c r="T24" s="16" t="s">
        <v>293</v>
      </c>
      <c r="U24" s="62" t="s">
        <v>1</v>
      </c>
      <c r="V24" s="64" t="s">
        <v>319</v>
      </c>
      <c r="W24" s="112">
        <v>18</v>
      </c>
      <c r="X24" s="113">
        <v>3</v>
      </c>
      <c r="Y24" s="6" t="s">
        <v>292</v>
      </c>
    </row>
    <row r="25" spans="1:25" s="6" customFormat="1" ht="21.75" customHeight="1" x14ac:dyDescent="0.25">
      <c r="A25" s="12" t="s">
        <v>7</v>
      </c>
      <c r="B25" s="13" t="s">
        <v>54</v>
      </c>
      <c r="C25" s="23">
        <v>5</v>
      </c>
      <c r="D25" s="24">
        <v>0.625</v>
      </c>
      <c r="F25" s="12" t="s">
        <v>7</v>
      </c>
      <c r="G25" s="13" t="s">
        <v>307</v>
      </c>
      <c r="H25" s="23">
        <v>1</v>
      </c>
      <c r="I25" s="24">
        <v>0.14285714285714285</v>
      </c>
      <c r="K25" s="12" t="s">
        <v>7</v>
      </c>
      <c r="L25" s="13" t="s">
        <v>70</v>
      </c>
      <c r="M25" s="23">
        <v>15</v>
      </c>
      <c r="N25" s="46">
        <f t="shared" si="0"/>
        <v>2.1428571428571428</v>
      </c>
      <c r="O25" s="16"/>
      <c r="P25" s="26" t="s">
        <v>9</v>
      </c>
      <c r="Q25" s="33" t="s">
        <v>53</v>
      </c>
      <c r="R25" s="115">
        <v>2</v>
      </c>
      <c r="S25" s="116">
        <v>0.25</v>
      </c>
      <c r="T25" s="16" t="s">
        <v>293</v>
      </c>
      <c r="U25" s="25" t="s">
        <v>2</v>
      </c>
      <c r="V25" s="16" t="s">
        <v>11</v>
      </c>
      <c r="W25" s="40">
        <v>15</v>
      </c>
      <c r="X25" s="114">
        <v>2.5</v>
      </c>
      <c r="Y25" s="6" t="s">
        <v>292</v>
      </c>
    </row>
    <row r="26" spans="1:25" s="6" customFormat="1" ht="21.75" customHeight="1" x14ac:dyDescent="0.25">
      <c r="A26" s="12" t="s">
        <v>8</v>
      </c>
      <c r="B26" s="13" t="s">
        <v>53</v>
      </c>
      <c r="C26" s="23">
        <v>2</v>
      </c>
      <c r="D26" s="24">
        <v>0.25</v>
      </c>
      <c r="F26" s="12" t="s">
        <v>8</v>
      </c>
      <c r="G26" s="13" t="s">
        <v>309</v>
      </c>
      <c r="H26" s="23">
        <v>9</v>
      </c>
      <c r="I26" s="24">
        <v>1.125</v>
      </c>
      <c r="K26" s="12" t="s">
        <v>8</v>
      </c>
      <c r="L26" s="13" t="s">
        <v>22</v>
      </c>
      <c r="M26" s="23">
        <v>10</v>
      </c>
      <c r="N26" s="46">
        <f t="shared" si="0"/>
        <v>1.4285714285714286</v>
      </c>
      <c r="O26" s="16"/>
      <c r="Q26" s="16"/>
      <c r="R26" s="40"/>
      <c r="S26" s="41"/>
      <c r="T26" s="16"/>
      <c r="U26" s="103" t="s">
        <v>3</v>
      </c>
      <c r="V26" s="106" t="s">
        <v>320</v>
      </c>
      <c r="W26" s="121">
        <v>9</v>
      </c>
      <c r="X26" s="122">
        <v>1.8</v>
      </c>
      <c r="Y26" s="6" t="s">
        <v>293</v>
      </c>
    </row>
    <row r="27" spans="1:25" s="6" customFormat="1" ht="21.75" customHeight="1" x14ac:dyDescent="0.25">
      <c r="A27" s="12" t="s">
        <v>9</v>
      </c>
      <c r="B27" s="13" t="s">
        <v>61</v>
      </c>
      <c r="C27" s="23">
        <v>24</v>
      </c>
      <c r="D27" s="24">
        <v>3</v>
      </c>
      <c r="F27" s="12" t="s">
        <v>9</v>
      </c>
      <c r="G27" s="13" t="s">
        <v>310</v>
      </c>
      <c r="H27" s="23">
        <v>9</v>
      </c>
      <c r="I27" s="24">
        <v>1.125</v>
      </c>
      <c r="K27" s="12" t="s">
        <v>9</v>
      </c>
      <c r="L27" s="13" t="s">
        <v>23</v>
      </c>
      <c r="M27" s="23">
        <v>15</v>
      </c>
      <c r="N27" s="46">
        <v>3</v>
      </c>
      <c r="O27" s="9"/>
      <c r="P27" s="62" t="s">
        <v>1</v>
      </c>
      <c r="Q27" s="64" t="s">
        <v>303</v>
      </c>
      <c r="R27" s="112">
        <v>16</v>
      </c>
      <c r="S27" s="113">
        <v>2.2857142857142856</v>
      </c>
      <c r="T27" s="16" t="s">
        <v>293</v>
      </c>
      <c r="U27" s="25" t="s">
        <v>4</v>
      </c>
      <c r="V27" s="16" t="s">
        <v>51</v>
      </c>
      <c r="W27" s="40">
        <v>6</v>
      </c>
      <c r="X27" s="114">
        <v>1</v>
      </c>
      <c r="Y27" s="6" t="s">
        <v>293</v>
      </c>
    </row>
    <row r="28" spans="1:25" s="6" customFormat="1" ht="21.75" customHeight="1" x14ac:dyDescent="0.3">
      <c r="A28" s="14" t="s">
        <v>10</v>
      </c>
      <c r="B28" s="15" t="s">
        <v>341</v>
      </c>
      <c r="C28" s="23" t="s">
        <v>199</v>
      </c>
      <c r="D28" s="24" t="s">
        <v>199</v>
      </c>
      <c r="F28" s="14" t="s">
        <v>10</v>
      </c>
      <c r="G28" s="15" t="s">
        <v>81</v>
      </c>
      <c r="H28" s="23" t="s">
        <v>199</v>
      </c>
      <c r="I28" s="24" t="s">
        <v>199</v>
      </c>
      <c r="K28" s="14"/>
      <c r="L28" s="15"/>
      <c r="M28" s="4"/>
      <c r="N28" s="37"/>
      <c r="O28" s="16"/>
      <c r="P28" s="25" t="s">
        <v>2</v>
      </c>
      <c r="Q28" s="16" t="s">
        <v>90</v>
      </c>
      <c r="R28" s="40">
        <v>15</v>
      </c>
      <c r="S28" s="114">
        <v>2.1428571428571428</v>
      </c>
      <c r="T28" s="16" t="s">
        <v>293</v>
      </c>
      <c r="U28" s="25" t="s">
        <v>5</v>
      </c>
      <c r="V28" s="16" t="s">
        <v>267</v>
      </c>
      <c r="W28" s="40">
        <v>6</v>
      </c>
      <c r="X28" s="114">
        <v>1</v>
      </c>
      <c r="Y28" s="6" t="s">
        <v>293</v>
      </c>
    </row>
    <row r="29" spans="1:25" s="6" customFormat="1" ht="21.75" customHeight="1" x14ac:dyDescent="0.3">
      <c r="A29" s="5"/>
      <c r="B29" s="16"/>
      <c r="C29" s="23"/>
      <c r="D29" s="24"/>
      <c r="F29" s="5"/>
      <c r="G29" s="16"/>
      <c r="H29" s="23"/>
      <c r="I29" s="24"/>
      <c r="K29" s="5"/>
      <c r="L29" s="16"/>
      <c r="M29" s="4"/>
      <c r="N29" s="37"/>
      <c r="O29" s="16"/>
      <c r="P29" s="25" t="s">
        <v>3</v>
      </c>
      <c r="Q29" s="16" t="s">
        <v>304</v>
      </c>
      <c r="R29" s="40">
        <v>14</v>
      </c>
      <c r="S29" s="114">
        <v>2</v>
      </c>
      <c r="T29" s="16" t="s">
        <v>293</v>
      </c>
      <c r="U29" s="25" t="s">
        <v>6</v>
      </c>
      <c r="V29" s="16" t="s">
        <v>321</v>
      </c>
      <c r="W29" s="40">
        <v>3</v>
      </c>
      <c r="X29" s="114">
        <v>0.6</v>
      </c>
      <c r="Y29" s="6" t="s">
        <v>293</v>
      </c>
    </row>
    <row r="30" spans="1:25" s="6" customFormat="1" ht="21.75" customHeight="1" x14ac:dyDescent="0.3">
      <c r="A30" s="5"/>
      <c r="B30" s="16"/>
      <c r="C30" s="23"/>
      <c r="D30" s="24"/>
      <c r="F30" s="5"/>
      <c r="G30" s="16"/>
      <c r="H30" s="23"/>
      <c r="I30" s="24"/>
      <c r="K30" s="5"/>
      <c r="L30" s="16"/>
      <c r="M30" s="4"/>
      <c r="N30" s="37"/>
      <c r="O30" s="51"/>
      <c r="P30" s="25" t="s">
        <v>4</v>
      </c>
      <c r="Q30" s="16" t="s">
        <v>57</v>
      </c>
      <c r="R30" s="40">
        <v>10</v>
      </c>
      <c r="S30" s="114">
        <v>1.4285714285714286</v>
      </c>
      <c r="T30" s="16" t="s">
        <v>293</v>
      </c>
      <c r="U30" s="25" t="s">
        <v>7</v>
      </c>
      <c r="V30" s="16" t="s">
        <v>32</v>
      </c>
      <c r="W30" s="40">
        <v>3</v>
      </c>
      <c r="X30" s="114">
        <v>0.5</v>
      </c>
      <c r="Y30" s="6" t="s">
        <v>293</v>
      </c>
    </row>
    <row r="31" spans="1:25" s="6" customFormat="1" ht="21.75" customHeight="1" x14ac:dyDescent="0.25">
      <c r="A31" s="7" t="s">
        <v>0</v>
      </c>
      <c r="B31" s="8" t="s">
        <v>114</v>
      </c>
      <c r="D31" s="35"/>
      <c r="F31" s="7" t="s">
        <v>0</v>
      </c>
      <c r="G31" s="8" t="s">
        <v>114</v>
      </c>
      <c r="H31" s="35"/>
      <c r="I31" s="35"/>
      <c r="K31" s="7" t="s">
        <v>0</v>
      </c>
      <c r="L31" s="8" t="s">
        <v>525</v>
      </c>
      <c r="M31" s="51"/>
      <c r="N31" s="119"/>
      <c r="O31" s="8"/>
      <c r="P31" s="25" t="s">
        <v>5</v>
      </c>
      <c r="Q31" s="16" t="s">
        <v>305</v>
      </c>
      <c r="R31" s="40">
        <v>9</v>
      </c>
      <c r="S31" s="114">
        <v>1.2857142857142858</v>
      </c>
      <c r="T31" s="16" t="s">
        <v>293</v>
      </c>
      <c r="U31" s="104" t="s">
        <v>8</v>
      </c>
      <c r="V31" s="107" t="s">
        <v>322</v>
      </c>
      <c r="W31" s="117">
        <v>0</v>
      </c>
      <c r="X31" s="118"/>
    </row>
    <row r="32" spans="1:25" s="9" customFormat="1" ht="21.75" customHeight="1" x14ac:dyDescent="0.3">
      <c r="A32" s="205" t="s">
        <v>180</v>
      </c>
      <c r="B32" s="206"/>
      <c r="C32" s="22" t="s">
        <v>168</v>
      </c>
      <c r="D32" s="27" t="s">
        <v>167</v>
      </c>
      <c r="F32" s="205" t="s">
        <v>524</v>
      </c>
      <c r="G32" s="206"/>
      <c r="H32" s="22" t="s">
        <v>168</v>
      </c>
      <c r="I32" s="27" t="s">
        <v>167</v>
      </c>
      <c r="J32" s="4"/>
      <c r="K32" s="198" t="s">
        <v>179</v>
      </c>
      <c r="L32" s="199"/>
      <c r="M32" s="22" t="s">
        <v>168</v>
      </c>
      <c r="N32" s="27" t="s">
        <v>167</v>
      </c>
      <c r="O32" s="21"/>
      <c r="P32" s="129" t="s">
        <v>6</v>
      </c>
      <c r="Q32" s="130" t="s">
        <v>306</v>
      </c>
      <c r="R32" s="131">
        <v>7</v>
      </c>
      <c r="S32" s="132">
        <v>1</v>
      </c>
      <c r="T32" s="16"/>
      <c r="U32" s="16"/>
      <c r="V32" s="16"/>
      <c r="W32" s="40"/>
      <c r="X32" s="41"/>
      <c r="Y32" s="6"/>
    </row>
    <row r="33" spans="1:25" s="6" customFormat="1" ht="21.75" customHeight="1" x14ac:dyDescent="0.3">
      <c r="A33" s="10" t="s">
        <v>1</v>
      </c>
      <c r="B33" s="11" t="s">
        <v>378</v>
      </c>
      <c r="C33" s="23">
        <v>6</v>
      </c>
      <c r="D33" s="24">
        <v>0.8571428571428571</v>
      </c>
      <c r="E33" s="4"/>
      <c r="F33" s="10" t="s">
        <v>1</v>
      </c>
      <c r="G33" s="11" t="s">
        <v>284</v>
      </c>
      <c r="H33" s="23">
        <v>9</v>
      </c>
      <c r="I33" s="24">
        <v>1.2857142857142858</v>
      </c>
      <c r="J33" s="4"/>
      <c r="K33" s="10" t="s">
        <v>1</v>
      </c>
      <c r="L33" s="11" t="s">
        <v>326</v>
      </c>
      <c r="M33" s="23">
        <v>6</v>
      </c>
      <c r="N33" s="24">
        <v>0.8571428571428571</v>
      </c>
      <c r="O33" s="16"/>
      <c r="P33" s="141" t="s">
        <v>7</v>
      </c>
      <c r="Q33" s="142" t="s">
        <v>85</v>
      </c>
      <c r="R33" s="143">
        <v>7</v>
      </c>
      <c r="S33" s="144">
        <v>1</v>
      </c>
      <c r="T33" s="16" t="s">
        <v>293</v>
      </c>
      <c r="U33" s="62" t="s">
        <v>1</v>
      </c>
      <c r="V33" s="64" t="s">
        <v>323</v>
      </c>
      <c r="W33" s="112">
        <v>18</v>
      </c>
      <c r="X33" s="113">
        <v>2.5714285714285716</v>
      </c>
      <c r="Y33" s="6" t="s">
        <v>292</v>
      </c>
    </row>
    <row r="34" spans="1:25" s="6" customFormat="1" ht="21.75" customHeight="1" x14ac:dyDescent="0.3">
      <c r="A34" s="12" t="s">
        <v>2</v>
      </c>
      <c r="B34" s="13" t="s">
        <v>177</v>
      </c>
      <c r="C34" s="23">
        <v>1</v>
      </c>
      <c r="D34" s="24">
        <v>0.14285714285714285</v>
      </c>
      <c r="E34" s="4"/>
      <c r="F34" s="12" t="s">
        <v>2</v>
      </c>
      <c r="G34" s="13" t="s">
        <v>198</v>
      </c>
      <c r="H34" s="23">
        <v>4</v>
      </c>
      <c r="I34" s="24">
        <v>0.66666666666666663</v>
      </c>
      <c r="J34" s="4"/>
      <c r="K34" s="12" t="s">
        <v>2</v>
      </c>
      <c r="L34" s="13" t="s">
        <v>327</v>
      </c>
      <c r="M34" s="23">
        <v>3</v>
      </c>
      <c r="N34" s="24">
        <v>0.42857142857142855</v>
      </c>
      <c r="O34" s="16"/>
      <c r="P34" s="26" t="s">
        <v>8</v>
      </c>
      <c r="Q34" s="33" t="s">
        <v>307</v>
      </c>
      <c r="R34" s="115">
        <v>1</v>
      </c>
      <c r="S34" s="116">
        <v>0.14285714285714285</v>
      </c>
      <c r="T34" s="16" t="s">
        <v>293</v>
      </c>
      <c r="U34" s="25" t="s">
        <v>2</v>
      </c>
      <c r="V34" s="16" t="s">
        <v>324</v>
      </c>
      <c r="W34" s="40">
        <v>15</v>
      </c>
      <c r="X34" s="114">
        <v>2.1428571428571428</v>
      </c>
      <c r="Y34" s="6" t="s">
        <v>292</v>
      </c>
    </row>
    <row r="35" spans="1:25" s="6" customFormat="1" ht="21.75" customHeight="1" x14ac:dyDescent="0.3">
      <c r="A35" s="12" t="s">
        <v>3</v>
      </c>
      <c r="B35" s="13" t="s">
        <v>331</v>
      </c>
      <c r="C35" s="23">
        <v>7</v>
      </c>
      <c r="D35" s="24">
        <v>1.4</v>
      </c>
      <c r="E35" s="4"/>
      <c r="F35" s="12" t="s">
        <v>3</v>
      </c>
      <c r="G35" s="13" t="s">
        <v>315</v>
      </c>
      <c r="H35" s="23">
        <v>3</v>
      </c>
      <c r="I35" s="24">
        <v>0.42857142857142855</v>
      </c>
      <c r="J35" s="4"/>
      <c r="K35" s="12" t="s">
        <v>3</v>
      </c>
      <c r="L35" s="13" t="s">
        <v>328</v>
      </c>
      <c r="M35" s="23">
        <v>1</v>
      </c>
      <c r="N35" s="24">
        <v>0.2</v>
      </c>
      <c r="O35" s="16"/>
      <c r="P35" s="51"/>
      <c r="Q35" s="51"/>
      <c r="R35" s="52"/>
      <c r="S35" s="92"/>
      <c r="T35" s="16"/>
      <c r="U35" s="25" t="s">
        <v>3</v>
      </c>
      <c r="V35" s="16" t="s">
        <v>70</v>
      </c>
      <c r="W35" s="40">
        <v>15</v>
      </c>
      <c r="X35" s="114">
        <v>2.1428571428571428</v>
      </c>
      <c r="Y35" s="6" t="s">
        <v>293</v>
      </c>
    </row>
    <row r="36" spans="1:25" s="6" customFormat="1" ht="21.75" customHeight="1" x14ac:dyDescent="0.3">
      <c r="A36" s="12" t="s">
        <v>4</v>
      </c>
      <c r="B36" s="13" t="s">
        <v>332</v>
      </c>
      <c r="C36" s="23">
        <v>3</v>
      </c>
      <c r="D36" s="24">
        <v>0.6</v>
      </c>
      <c r="F36" s="14" t="s">
        <v>4</v>
      </c>
      <c r="G36" s="15" t="s">
        <v>345</v>
      </c>
      <c r="H36" s="23">
        <v>0</v>
      </c>
      <c r="I36" s="24">
        <v>0</v>
      </c>
      <c r="J36" s="4"/>
      <c r="K36" s="12" t="s">
        <v>4</v>
      </c>
      <c r="L36" s="13" t="s">
        <v>321</v>
      </c>
      <c r="M36" s="23">
        <v>3</v>
      </c>
      <c r="N36" s="24">
        <v>0.6</v>
      </c>
      <c r="O36" s="16"/>
      <c r="P36" s="62" t="s">
        <v>1</v>
      </c>
      <c r="Q36" s="64" t="s">
        <v>61</v>
      </c>
      <c r="R36" s="112">
        <v>24</v>
      </c>
      <c r="S36" s="113">
        <v>3</v>
      </c>
      <c r="T36" s="16" t="s">
        <v>293</v>
      </c>
      <c r="U36" s="25" t="s">
        <v>4</v>
      </c>
      <c r="V36" s="16" t="s">
        <v>325</v>
      </c>
      <c r="W36" s="40">
        <v>15</v>
      </c>
      <c r="X36" s="114">
        <v>2.1428571428571428</v>
      </c>
      <c r="Y36" s="6" t="s">
        <v>292</v>
      </c>
    </row>
    <row r="37" spans="1:25" s="6" customFormat="1" ht="21.75" customHeight="1" x14ac:dyDescent="0.3">
      <c r="A37" s="12" t="s">
        <v>5</v>
      </c>
      <c r="B37" s="13" t="s">
        <v>333</v>
      </c>
      <c r="C37" s="23">
        <v>0</v>
      </c>
      <c r="D37" s="24">
        <v>0</v>
      </c>
      <c r="F37" s="5"/>
      <c r="G37" s="4"/>
      <c r="H37" s="4"/>
      <c r="I37" s="38"/>
      <c r="J37" s="4"/>
      <c r="K37" s="12" t="s">
        <v>5</v>
      </c>
      <c r="L37" s="13" t="s">
        <v>32</v>
      </c>
      <c r="M37" s="23">
        <v>3</v>
      </c>
      <c r="N37" s="24">
        <v>0.5</v>
      </c>
      <c r="O37" s="16"/>
      <c r="P37" s="129" t="s">
        <v>2</v>
      </c>
      <c r="Q37" s="130" t="s">
        <v>308</v>
      </c>
      <c r="R37" s="131">
        <v>12</v>
      </c>
      <c r="S37" s="132">
        <v>1.5</v>
      </c>
      <c r="T37" s="16"/>
      <c r="U37" s="25" t="s">
        <v>5</v>
      </c>
      <c r="V37" s="16" t="s">
        <v>22</v>
      </c>
      <c r="W37" s="40">
        <v>10</v>
      </c>
      <c r="X37" s="114">
        <v>1.4285714285714286</v>
      </c>
      <c r="Y37" s="6" t="s">
        <v>293</v>
      </c>
    </row>
    <row r="38" spans="1:25" s="6" customFormat="1" ht="21.75" customHeight="1" x14ac:dyDescent="0.3">
      <c r="A38" s="14" t="s">
        <v>6</v>
      </c>
      <c r="B38" s="15" t="s">
        <v>311</v>
      </c>
      <c r="C38" s="23">
        <v>6</v>
      </c>
      <c r="D38" s="24">
        <v>0.75</v>
      </c>
      <c r="F38" s="5"/>
      <c r="G38" s="4"/>
      <c r="H38" s="4"/>
      <c r="I38" s="38"/>
      <c r="J38" s="4"/>
      <c r="K38" s="12" t="s">
        <v>6</v>
      </c>
      <c r="L38" s="13" t="s">
        <v>178</v>
      </c>
      <c r="M38" s="23">
        <v>7</v>
      </c>
      <c r="N38" s="24">
        <v>1.4</v>
      </c>
      <c r="O38" s="16"/>
      <c r="P38" s="25" t="s">
        <v>3</v>
      </c>
      <c r="Q38" s="16" t="s">
        <v>309</v>
      </c>
      <c r="R38" s="40">
        <v>9</v>
      </c>
      <c r="S38" s="114">
        <v>1.125</v>
      </c>
      <c r="T38" s="16" t="s">
        <v>293</v>
      </c>
      <c r="U38" s="25" t="s">
        <v>6</v>
      </c>
      <c r="V38" s="16" t="s">
        <v>326</v>
      </c>
      <c r="W38" s="40">
        <v>6</v>
      </c>
      <c r="X38" s="114">
        <v>0.8571428571428571</v>
      </c>
      <c r="Y38" s="6" t="s">
        <v>293</v>
      </c>
    </row>
    <row r="39" spans="1:25" s="6" customFormat="1" ht="21.75" customHeight="1" x14ac:dyDescent="0.3">
      <c r="A39" s="5"/>
      <c r="B39" s="4"/>
      <c r="C39" s="38"/>
      <c r="D39" s="38"/>
      <c r="F39" s="5"/>
      <c r="G39" s="4"/>
      <c r="H39" s="4"/>
      <c r="I39" s="38"/>
      <c r="J39" s="4"/>
      <c r="K39" s="12" t="s">
        <v>7</v>
      </c>
      <c r="L39" s="13" t="s">
        <v>51</v>
      </c>
      <c r="M39" s="23">
        <v>6</v>
      </c>
      <c r="N39" s="24">
        <v>1</v>
      </c>
      <c r="O39" s="16"/>
      <c r="P39" s="25" t="s">
        <v>4</v>
      </c>
      <c r="Q39" s="16" t="s">
        <v>310</v>
      </c>
      <c r="R39" s="40">
        <v>9</v>
      </c>
      <c r="S39" s="114">
        <v>1.125</v>
      </c>
      <c r="T39" s="16" t="s">
        <v>293</v>
      </c>
      <c r="U39" s="25" t="s">
        <v>7</v>
      </c>
      <c r="V39" s="16" t="s">
        <v>327</v>
      </c>
      <c r="W39" s="40">
        <v>3</v>
      </c>
      <c r="X39" s="114">
        <v>0.42857142857142855</v>
      </c>
      <c r="Y39" s="6" t="s">
        <v>293</v>
      </c>
    </row>
    <row r="40" spans="1:25" s="6" customFormat="1" ht="21.75" customHeight="1" x14ac:dyDescent="0.3">
      <c r="A40" s="5"/>
      <c r="B40" s="4"/>
      <c r="C40" s="38"/>
      <c r="D40" s="38"/>
      <c r="F40" s="5"/>
      <c r="G40" s="4"/>
      <c r="H40" s="4"/>
      <c r="I40" s="38"/>
      <c r="J40" s="4"/>
      <c r="K40" s="14" t="s">
        <v>8</v>
      </c>
      <c r="L40" s="15" t="s">
        <v>267</v>
      </c>
      <c r="M40" s="23">
        <v>6</v>
      </c>
      <c r="N40" s="24">
        <v>1</v>
      </c>
      <c r="O40" s="16"/>
      <c r="P40" s="26" t="s">
        <v>5</v>
      </c>
      <c r="Q40" s="33" t="s">
        <v>311</v>
      </c>
      <c r="R40" s="115">
        <v>6</v>
      </c>
      <c r="S40" s="116">
        <v>0.75</v>
      </c>
      <c r="T40" s="16" t="s">
        <v>293</v>
      </c>
      <c r="U40" s="26" t="s">
        <v>8</v>
      </c>
      <c r="V40" s="33" t="s">
        <v>328</v>
      </c>
      <c r="W40" s="115">
        <v>1</v>
      </c>
      <c r="X40" s="116">
        <v>0.2</v>
      </c>
      <c r="Y40" s="6" t="s">
        <v>293</v>
      </c>
    </row>
    <row r="41" spans="1:25" s="6" customFormat="1" ht="21.75" customHeight="1" x14ac:dyDescent="0.3">
      <c r="A41" s="5"/>
      <c r="B41" s="16"/>
      <c r="C41" s="23"/>
      <c r="D41" s="46"/>
      <c r="F41" s="5"/>
      <c r="G41" s="4"/>
      <c r="H41" s="4"/>
      <c r="I41" s="38"/>
      <c r="J41" s="4"/>
      <c r="K41" s="4"/>
      <c r="L41" s="4"/>
      <c r="M41" s="19"/>
      <c r="N41" s="28"/>
      <c r="O41" s="16"/>
      <c r="P41" s="51"/>
      <c r="Q41" s="51"/>
      <c r="R41" s="52"/>
      <c r="S41" s="92"/>
      <c r="T41" s="16"/>
      <c r="U41" s="16"/>
      <c r="V41" s="16"/>
      <c r="W41" s="40"/>
      <c r="X41" s="41"/>
    </row>
    <row r="42" spans="1:25" s="6" customFormat="1" ht="21.75" customHeight="1" x14ac:dyDescent="0.3">
      <c r="A42" s="5"/>
      <c r="B42" s="4"/>
      <c r="C42" s="38"/>
      <c r="D42" s="38"/>
      <c r="F42" s="5"/>
      <c r="G42" s="16"/>
      <c r="H42" s="51"/>
      <c r="I42" s="119"/>
      <c r="J42" s="4"/>
      <c r="K42" s="4"/>
      <c r="L42" s="4"/>
      <c r="M42" s="19"/>
      <c r="N42" s="28"/>
      <c r="O42" s="16"/>
      <c r="P42" s="51"/>
      <c r="Q42" s="6" t="s">
        <v>81</v>
      </c>
      <c r="R42" s="5" t="s">
        <v>199</v>
      </c>
      <c r="S42" s="92" t="s">
        <v>199</v>
      </c>
      <c r="T42" s="16" t="s">
        <v>293</v>
      </c>
      <c r="U42" s="145" t="s">
        <v>1</v>
      </c>
      <c r="V42" s="146" t="s">
        <v>329</v>
      </c>
      <c r="W42" s="147">
        <v>15</v>
      </c>
      <c r="X42" s="148">
        <v>3</v>
      </c>
      <c r="Y42" s="6" t="s">
        <v>293</v>
      </c>
    </row>
    <row r="43" spans="1:25" s="51" customFormat="1" ht="21.75" customHeight="1" x14ac:dyDescent="0.3">
      <c r="A43" s="5"/>
      <c r="B43" s="4"/>
      <c r="C43" s="4"/>
      <c r="D43" s="38"/>
      <c r="E43" s="6"/>
      <c r="F43" s="5"/>
      <c r="G43" s="4"/>
      <c r="H43" s="4"/>
      <c r="I43" s="38"/>
      <c r="J43" s="6"/>
      <c r="K43" s="5"/>
      <c r="L43" s="4"/>
      <c r="M43" s="4"/>
      <c r="N43" s="38"/>
      <c r="Q43" s="6" t="s">
        <v>341</v>
      </c>
      <c r="R43" s="5" t="s">
        <v>199</v>
      </c>
      <c r="S43" s="92" t="s">
        <v>199</v>
      </c>
      <c r="T43" s="16" t="s">
        <v>293</v>
      </c>
      <c r="U43" s="25" t="s">
        <v>2</v>
      </c>
      <c r="V43" s="16" t="s">
        <v>330</v>
      </c>
      <c r="W43" s="40">
        <v>12</v>
      </c>
      <c r="X43" s="114">
        <v>2.4</v>
      </c>
      <c r="Y43" s="6" t="s">
        <v>293</v>
      </c>
    </row>
    <row r="44" spans="1:25" s="51" customFormat="1" ht="21.75" customHeight="1" x14ac:dyDescent="0.3">
      <c r="A44" s="52"/>
      <c r="B44" s="4"/>
      <c r="C44" s="4"/>
      <c r="D44" s="38"/>
      <c r="E44" s="6"/>
      <c r="F44" s="5"/>
      <c r="G44" s="4"/>
      <c r="H44" s="4"/>
      <c r="I44" s="38"/>
      <c r="J44" s="6"/>
      <c r="K44" s="5"/>
      <c r="N44" s="119"/>
      <c r="R44" s="52"/>
      <c r="S44" s="92"/>
      <c r="T44" s="16"/>
      <c r="U44" s="25" t="s">
        <v>3</v>
      </c>
      <c r="V44" s="16" t="s">
        <v>178</v>
      </c>
      <c r="W44" s="40">
        <v>7</v>
      </c>
      <c r="X44" s="114">
        <v>1.4</v>
      </c>
      <c r="Y44" s="6" t="s">
        <v>293</v>
      </c>
    </row>
    <row r="45" spans="1:25" s="51" customFormat="1" ht="21.75" customHeight="1" x14ac:dyDescent="0.3">
      <c r="A45" s="52"/>
      <c r="B45" s="4"/>
      <c r="C45" s="4"/>
      <c r="D45" s="38"/>
      <c r="E45" s="6"/>
      <c r="F45" s="5"/>
      <c r="G45" s="4"/>
      <c r="H45" s="4"/>
      <c r="I45" s="38"/>
      <c r="J45" s="6"/>
      <c r="K45" s="5"/>
      <c r="L45" s="4"/>
      <c r="M45" s="4"/>
      <c r="N45" s="38"/>
      <c r="R45" s="52"/>
      <c r="S45" s="92"/>
      <c r="T45" s="16"/>
      <c r="U45" s="25" t="s">
        <v>4</v>
      </c>
      <c r="V45" s="16" t="s">
        <v>331</v>
      </c>
      <c r="W45" s="40">
        <v>7</v>
      </c>
      <c r="X45" s="114">
        <v>1.4</v>
      </c>
      <c r="Y45" s="6" t="s">
        <v>293</v>
      </c>
    </row>
    <row r="46" spans="1:25" s="51" customFormat="1" ht="21.75" customHeight="1" x14ac:dyDescent="0.3">
      <c r="A46" s="52"/>
      <c r="B46" s="4"/>
      <c r="C46" s="4"/>
      <c r="D46" s="38"/>
      <c r="E46" s="6"/>
      <c r="F46" s="5"/>
      <c r="G46" s="4"/>
      <c r="H46" s="4"/>
      <c r="I46" s="38"/>
      <c r="J46" s="6"/>
      <c r="K46" s="5"/>
      <c r="N46" s="119"/>
      <c r="T46" s="6"/>
      <c r="U46" s="25" t="s">
        <v>5</v>
      </c>
      <c r="V46" s="16" t="s">
        <v>332</v>
      </c>
      <c r="W46" s="40">
        <v>3</v>
      </c>
      <c r="X46" s="114">
        <v>0.6</v>
      </c>
      <c r="Y46" s="6" t="s">
        <v>293</v>
      </c>
    </row>
    <row r="47" spans="1:25" s="51" customFormat="1" ht="21.75" customHeight="1" x14ac:dyDescent="0.3">
      <c r="A47" s="52"/>
      <c r="B47" s="4"/>
      <c r="C47" s="4"/>
      <c r="D47" s="38"/>
      <c r="E47" s="6"/>
      <c r="F47" s="5"/>
      <c r="G47" s="4"/>
      <c r="H47" s="4"/>
      <c r="I47" s="38"/>
      <c r="J47" s="6"/>
      <c r="K47" s="5"/>
      <c r="M47" s="4"/>
      <c r="N47" s="38"/>
      <c r="T47" s="6"/>
      <c r="U47" s="26" t="s">
        <v>6</v>
      </c>
      <c r="V47" s="33" t="s">
        <v>333</v>
      </c>
      <c r="W47" s="115">
        <v>0</v>
      </c>
      <c r="X47" s="116">
        <v>0</v>
      </c>
      <c r="Y47" s="6" t="s">
        <v>293</v>
      </c>
    </row>
    <row r="48" spans="1:25" ht="21.75" customHeight="1" x14ac:dyDescent="0.3">
      <c r="E48" s="6"/>
      <c r="F48" s="5"/>
      <c r="H48" s="4"/>
      <c r="J48" s="6"/>
      <c r="K48" s="5"/>
      <c r="L48" s="51"/>
      <c r="P48" s="51"/>
      <c r="T48" s="6"/>
      <c r="U48" s="51"/>
      <c r="V48" s="98"/>
      <c r="W48" s="52"/>
      <c r="X48" s="92"/>
      <c r="Y48" s="6"/>
    </row>
    <row r="49" spans="5:12" ht="21.75" customHeight="1" x14ac:dyDescent="0.3">
      <c r="E49" s="6"/>
      <c r="F49" s="5"/>
      <c r="H49" s="4"/>
      <c r="J49" s="6"/>
      <c r="K49" s="5"/>
      <c r="L49" s="51"/>
    </row>
    <row r="50" spans="5:12" ht="21.75" customHeight="1" x14ac:dyDescent="0.3">
      <c r="E50" s="6"/>
      <c r="F50" s="5"/>
      <c r="H50" s="4"/>
      <c r="J50" s="6"/>
      <c r="K50" s="5"/>
      <c r="L50" s="51"/>
    </row>
    <row r="51" spans="5:12" ht="21.75" customHeight="1" x14ac:dyDescent="0.3">
      <c r="E51" s="6"/>
      <c r="F51" s="5"/>
      <c r="H51" s="4"/>
      <c r="J51" s="6"/>
      <c r="K51" s="5"/>
      <c r="L51" s="51"/>
    </row>
    <row r="52" spans="5:12" ht="21.75" customHeight="1" x14ac:dyDescent="0.3">
      <c r="E52" s="6"/>
      <c r="F52" s="5"/>
      <c r="H52" s="4"/>
      <c r="J52" s="6"/>
      <c r="K52" s="5"/>
      <c r="L52" s="51"/>
    </row>
    <row r="53" spans="5:12" ht="21.75" customHeight="1" x14ac:dyDescent="0.3">
      <c r="E53" s="6"/>
      <c r="F53" s="5"/>
      <c r="H53" s="4"/>
      <c r="J53" s="6"/>
      <c r="K53" s="5"/>
    </row>
    <row r="54" spans="5:12" ht="21.75" customHeight="1" x14ac:dyDescent="0.3">
      <c r="E54" s="6"/>
      <c r="F54" s="5"/>
      <c r="H54" s="4"/>
      <c r="J54" s="6"/>
      <c r="K54" s="5"/>
    </row>
    <row r="55" spans="5:12" ht="21.75" customHeight="1" x14ac:dyDescent="0.3">
      <c r="E55" s="6"/>
      <c r="F55" s="5"/>
      <c r="H55" s="4"/>
      <c r="J55" s="6"/>
      <c r="K55" s="5"/>
    </row>
    <row r="56" spans="5:12" ht="21.75" customHeight="1" x14ac:dyDescent="0.3">
      <c r="E56" s="6"/>
      <c r="F56" s="5"/>
      <c r="H56" s="4"/>
      <c r="J56" s="6"/>
      <c r="K56" s="5"/>
    </row>
    <row r="57" spans="5:12" ht="21.75" customHeight="1" x14ac:dyDescent="0.3">
      <c r="E57" s="6"/>
      <c r="F57" s="5"/>
      <c r="H57" s="4"/>
      <c r="J57" s="6"/>
      <c r="K57" s="5"/>
    </row>
    <row r="58" spans="5:12" ht="21.75" customHeight="1" x14ac:dyDescent="0.3">
      <c r="E58" s="6"/>
      <c r="F58" s="5"/>
      <c r="H58" s="4"/>
      <c r="J58" s="6"/>
      <c r="K58" s="5"/>
    </row>
    <row r="59" spans="5:12" ht="21.75" customHeight="1" x14ac:dyDescent="0.3">
      <c r="E59" s="6"/>
      <c r="F59" s="5"/>
      <c r="H59" s="4"/>
      <c r="J59" s="6"/>
      <c r="K59" s="5"/>
    </row>
    <row r="60" spans="5:12" ht="21.75" customHeight="1" x14ac:dyDescent="0.3">
      <c r="E60" s="6"/>
      <c r="F60" s="5"/>
      <c r="H60" s="4"/>
      <c r="J60" s="6"/>
      <c r="K60" s="5"/>
    </row>
    <row r="61" spans="5:12" ht="21.75" customHeight="1" x14ac:dyDescent="0.3">
      <c r="E61" s="6"/>
      <c r="F61" s="5"/>
      <c r="H61" s="4"/>
      <c r="J61" s="6"/>
      <c r="K61" s="5"/>
    </row>
    <row r="62" spans="5:12" ht="21.75" customHeight="1" x14ac:dyDescent="0.3">
      <c r="E62" s="6"/>
      <c r="F62" s="5"/>
      <c r="H62" s="4"/>
      <c r="J62" s="6"/>
      <c r="K62" s="5"/>
    </row>
    <row r="63" spans="5:12" ht="21.75" customHeight="1" x14ac:dyDescent="0.3">
      <c r="E63" s="6"/>
      <c r="F63" s="5"/>
      <c r="H63" s="4"/>
      <c r="J63" s="6"/>
      <c r="K63" s="5"/>
    </row>
    <row r="64" spans="5:12" ht="21.75" customHeight="1" x14ac:dyDescent="0.3">
      <c r="E64" s="6"/>
      <c r="F64" s="5"/>
      <c r="H64" s="4"/>
      <c r="J64" s="6"/>
      <c r="K64" s="5"/>
    </row>
    <row r="65" spans="5:20" ht="21.75" customHeight="1" x14ac:dyDescent="0.3">
      <c r="E65" s="6"/>
      <c r="F65" s="5"/>
      <c r="H65" s="4"/>
      <c r="J65" s="6"/>
      <c r="K65" s="5"/>
    </row>
    <row r="66" spans="5:20" ht="21.75" customHeight="1" x14ac:dyDescent="0.3">
      <c r="E66" s="6"/>
      <c r="F66" s="5"/>
      <c r="H66" s="4"/>
      <c r="J66" s="6"/>
      <c r="K66" s="5"/>
      <c r="T66" s="4"/>
    </row>
    <row r="67" spans="5:20" ht="21.75" customHeight="1" x14ac:dyDescent="0.3">
      <c r="E67" s="6"/>
      <c r="F67" s="5"/>
      <c r="H67" s="4"/>
      <c r="J67" s="6"/>
      <c r="K67" s="5"/>
    </row>
    <row r="68" spans="5:20" ht="21.75" customHeight="1" x14ac:dyDescent="0.3">
      <c r="E68" s="6"/>
      <c r="F68" s="5"/>
      <c r="H68" s="4"/>
      <c r="J68" s="6"/>
      <c r="K68" s="5"/>
    </row>
    <row r="69" spans="5:20" ht="21.75" customHeight="1" x14ac:dyDescent="0.3">
      <c r="E69" s="6"/>
      <c r="F69" s="5"/>
      <c r="H69" s="4"/>
      <c r="J69" s="6"/>
      <c r="K69" s="5"/>
    </row>
    <row r="70" spans="5:20" ht="21.75" customHeight="1" x14ac:dyDescent="0.3">
      <c r="E70" s="6"/>
      <c r="F70" s="5"/>
      <c r="H70" s="4"/>
      <c r="J70" s="6"/>
      <c r="K70" s="5"/>
    </row>
    <row r="71" spans="5:20" ht="21.75" customHeight="1" x14ac:dyDescent="0.3"/>
    <row r="72" spans="5:20" ht="21.75" customHeight="1" x14ac:dyDescent="0.3"/>
    <row r="73" spans="5:20" ht="21.75" customHeight="1" x14ac:dyDescent="0.3"/>
    <row r="74" spans="5:20" ht="21.75" customHeight="1" x14ac:dyDescent="0.3"/>
    <row r="75" spans="5:20" ht="21.75" customHeight="1" x14ac:dyDescent="0.3"/>
    <row r="76" spans="5:20" ht="21.75" customHeight="1" x14ac:dyDescent="0.3"/>
    <row r="77" spans="5:20" ht="21.75" customHeight="1" x14ac:dyDescent="0.3"/>
    <row r="78" spans="5:20" ht="21.75" customHeight="1" x14ac:dyDescent="0.3"/>
    <row r="79" spans="5:20" ht="21.75" customHeight="1" x14ac:dyDescent="0.3"/>
    <row r="80" spans="5:20" ht="21.75" customHeight="1" x14ac:dyDescent="0.3"/>
    <row r="81" spans="3:25" ht="21.75" customHeight="1" x14ac:dyDescent="0.3"/>
    <row r="82" spans="3:25" ht="21.75" customHeight="1" x14ac:dyDescent="0.3"/>
    <row r="83" spans="3:25" ht="21.75" customHeight="1" x14ac:dyDescent="0.3"/>
    <row r="84" spans="3:25" ht="21.75" customHeight="1" x14ac:dyDescent="0.3"/>
    <row r="85" spans="3:25" ht="21.75" customHeight="1" x14ac:dyDescent="0.3">
      <c r="M85" s="38"/>
      <c r="N85" s="4"/>
      <c r="T85" s="4"/>
      <c r="U85" s="60"/>
      <c r="V85" s="19"/>
      <c r="W85" s="28"/>
      <c r="X85" s="66"/>
      <c r="Y85" s="4"/>
    </row>
    <row r="86" spans="3:25" ht="21.75" customHeight="1" x14ac:dyDescent="0.3">
      <c r="C86" s="23"/>
      <c r="D86" s="23"/>
      <c r="E86" s="19"/>
      <c r="F86" s="4"/>
      <c r="G86" s="38"/>
      <c r="I86" s="4"/>
      <c r="J86" s="19"/>
      <c r="K86" s="4"/>
      <c r="M86" s="38"/>
      <c r="N86" s="4"/>
      <c r="T86" s="4"/>
      <c r="U86" s="60"/>
      <c r="V86" s="19"/>
      <c r="W86" s="28"/>
      <c r="X86" s="66"/>
      <c r="Y86" s="4"/>
    </row>
    <row r="87" spans="3:25" ht="21.75" customHeight="1" x14ac:dyDescent="0.3">
      <c r="C87" s="23"/>
      <c r="D87" s="23"/>
      <c r="E87" s="19"/>
      <c r="F87" s="4"/>
      <c r="G87" s="38"/>
      <c r="I87" s="4"/>
      <c r="J87" s="19"/>
      <c r="K87" s="4"/>
      <c r="M87" s="38"/>
      <c r="N87" s="4"/>
      <c r="T87" s="4"/>
      <c r="U87" s="60"/>
      <c r="V87" s="19"/>
      <c r="W87" s="28"/>
      <c r="X87" s="66"/>
      <c r="Y87" s="4"/>
    </row>
    <row r="88" spans="3:25" ht="21.75" customHeight="1" x14ac:dyDescent="0.3">
      <c r="C88" s="23"/>
      <c r="D88" s="23"/>
      <c r="E88" s="19"/>
      <c r="F88" s="4"/>
      <c r="G88" s="38"/>
      <c r="I88" s="4"/>
      <c r="J88" s="19"/>
      <c r="K88" s="4"/>
      <c r="M88" s="38"/>
      <c r="N88" s="4"/>
      <c r="T88" s="4"/>
      <c r="U88" s="60"/>
      <c r="V88" s="19"/>
      <c r="W88" s="28"/>
      <c r="X88" s="66"/>
      <c r="Y88" s="4"/>
    </row>
    <row r="89" spans="3:25" ht="21.75" customHeight="1" x14ac:dyDescent="0.3">
      <c r="C89" s="23"/>
      <c r="D89" s="23"/>
      <c r="E89" s="19"/>
      <c r="F89" s="4"/>
      <c r="G89" s="38"/>
      <c r="I89" s="4"/>
      <c r="J89" s="19"/>
      <c r="K89" s="4"/>
      <c r="M89" s="38"/>
      <c r="N89" s="4"/>
      <c r="Q89" s="16"/>
      <c r="R89" s="23"/>
      <c r="S89" s="46"/>
      <c r="T89" s="4"/>
      <c r="U89" s="60"/>
      <c r="V89" s="19"/>
      <c r="W89" s="28"/>
      <c r="X89" s="66"/>
      <c r="Y89" s="4"/>
    </row>
    <row r="90" spans="3:25" ht="21.75" customHeight="1" x14ac:dyDescent="0.3">
      <c r="C90" s="23"/>
      <c r="D90" s="23"/>
      <c r="E90" s="19"/>
      <c r="F90" s="4"/>
      <c r="G90" s="38"/>
      <c r="I90" s="4"/>
      <c r="J90" s="19"/>
      <c r="K90" s="4"/>
      <c r="M90" s="38"/>
      <c r="N90" s="4"/>
      <c r="T90" s="4"/>
      <c r="U90" s="60"/>
      <c r="V90" s="19"/>
      <c r="W90" s="28"/>
      <c r="X90" s="66"/>
      <c r="Y90" s="4"/>
    </row>
    <row r="91" spans="3:25" ht="21.75" customHeight="1" x14ac:dyDescent="0.3">
      <c r="C91" s="23"/>
      <c r="D91" s="23"/>
      <c r="E91" s="19"/>
      <c r="F91" s="4"/>
      <c r="G91" s="38"/>
      <c r="I91" s="4"/>
      <c r="J91" s="19"/>
      <c r="K91" s="4"/>
      <c r="M91" s="38"/>
      <c r="N91" s="4"/>
      <c r="Q91" s="19"/>
      <c r="R91" s="28"/>
      <c r="S91" s="66"/>
      <c r="T91" s="4"/>
      <c r="U91" s="60"/>
      <c r="V91" s="19"/>
      <c r="W91" s="28"/>
      <c r="X91" s="66"/>
      <c r="Y91" s="4"/>
    </row>
    <row r="92" spans="3:25" ht="21.75" customHeight="1" x14ac:dyDescent="0.3">
      <c r="C92" s="23"/>
      <c r="D92" s="23"/>
      <c r="E92" s="19"/>
      <c r="F92" s="4"/>
      <c r="G92" s="38"/>
      <c r="I92" s="4"/>
      <c r="J92" s="19"/>
      <c r="K92" s="4"/>
      <c r="M92" s="38"/>
      <c r="N92" s="4"/>
      <c r="Q92" s="19"/>
      <c r="R92" s="28"/>
      <c r="S92" s="66"/>
      <c r="T92" s="4"/>
      <c r="U92" s="60"/>
      <c r="V92" s="19"/>
      <c r="W92" s="28"/>
      <c r="X92" s="66"/>
      <c r="Y92" s="4"/>
    </row>
    <row r="93" spans="3:25" ht="21.75" customHeight="1" x14ac:dyDescent="0.3">
      <c r="C93" s="23"/>
      <c r="D93" s="23"/>
      <c r="E93" s="19"/>
      <c r="F93" s="4"/>
      <c r="G93" s="38"/>
      <c r="I93" s="4"/>
      <c r="J93" s="19"/>
      <c r="K93" s="4"/>
      <c r="M93" s="38"/>
      <c r="N93" s="4"/>
      <c r="T93" s="4"/>
      <c r="V93" s="19"/>
    </row>
    <row r="94" spans="3:25" ht="21.75" customHeight="1" x14ac:dyDescent="0.3">
      <c r="C94" s="23"/>
      <c r="D94" s="23"/>
      <c r="E94" s="19"/>
      <c r="F94" s="4"/>
      <c r="G94" s="38"/>
      <c r="I94" s="4"/>
      <c r="J94" s="19"/>
      <c r="K94" s="4"/>
      <c r="M94" s="38"/>
      <c r="N94" s="4"/>
      <c r="V94" s="19"/>
    </row>
    <row r="95" spans="3:25" ht="21.75" customHeight="1" x14ac:dyDescent="0.3">
      <c r="C95" s="23"/>
      <c r="D95" s="23"/>
      <c r="E95" s="19"/>
      <c r="F95" s="4"/>
      <c r="G95" s="38"/>
      <c r="I95" s="4"/>
      <c r="J95" s="19"/>
      <c r="K95" s="4"/>
      <c r="M95" s="38"/>
      <c r="N95" s="4"/>
      <c r="V95" s="19"/>
    </row>
    <row r="96" spans="3:25" ht="21.75" customHeight="1" x14ac:dyDescent="0.3">
      <c r="C96" s="23"/>
      <c r="D96" s="23"/>
      <c r="E96" s="19"/>
      <c r="F96" s="4"/>
      <c r="G96" s="38"/>
      <c r="I96" s="4"/>
      <c r="J96" s="19"/>
      <c r="K96" s="4"/>
      <c r="M96" s="38"/>
      <c r="N96" s="4"/>
      <c r="V96" s="19"/>
    </row>
    <row r="97" spans="2:25" ht="21.75" customHeight="1" x14ac:dyDescent="0.3">
      <c r="B97" s="51"/>
      <c r="C97" s="23"/>
      <c r="D97" s="23"/>
      <c r="E97" s="19"/>
      <c r="F97" s="4"/>
      <c r="G97" s="38"/>
      <c r="I97" s="4"/>
      <c r="J97" s="19"/>
      <c r="K97" s="4"/>
      <c r="M97" s="38"/>
      <c r="N97" s="4"/>
      <c r="V97" s="19"/>
    </row>
    <row r="98" spans="2:25" ht="21.75" customHeight="1" x14ac:dyDescent="0.3">
      <c r="B98" s="51"/>
      <c r="C98" s="23"/>
      <c r="D98" s="23"/>
      <c r="E98" s="19"/>
      <c r="F98" s="4"/>
      <c r="G98" s="38"/>
      <c r="I98" s="4"/>
      <c r="J98" s="19"/>
      <c r="K98" s="4"/>
      <c r="M98" s="38"/>
      <c r="N98" s="4"/>
      <c r="V98" s="19"/>
    </row>
    <row r="99" spans="2:25" ht="21.75" customHeight="1" x14ac:dyDescent="0.3">
      <c r="B99" s="51"/>
      <c r="C99" s="23"/>
      <c r="D99" s="23"/>
      <c r="E99" s="19"/>
      <c r="F99" s="4"/>
      <c r="G99" s="38"/>
      <c r="I99" s="4"/>
      <c r="J99" s="19"/>
      <c r="K99" s="4"/>
      <c r="M99" s="38"/>
      <c r="N99" s="4"/>
      <c r="V99" s="19"/>
    </row>
    <row r="100" spans="2:25" ht="21.75" customHeight="1" x14ac:dyDescent="0.3">
      <c r="B100" s="51"/>
      <c r="C100" s="23"/>
      <c r="D100" s="23"/>
      <c r="E100" s="19"/>
      <c r="F100" s="4"/>
      <c r="G100" s="38"/>
      <c r="I100" s="4"/>
      <c r="J100" s="19"/>
      <c r="K100" s="4"/>
      <c r="M100" s="38"/>
      <c r="N100" s="4"/>
      <c r="V100" s="19"/>
    </row>
    <row r="101" spans="2:25" ht="21.75" customHeight="1" x14ac:dyDescent="0.3">
      <c r="C101" s="23"/>
      <c r="D101" s="23"/>
      <c r="E101" s="19"/>
      <c r="F101" s="4"/>
      <c r="G101" s="38"/>
      <c r="I101" s="4"/>
      <c r="J101" s="19"/>
      <c r="K101" s="4"/>
      <c r="M101" s="38"/>
      <c r="N101" s="4"/>
      <c r="V101" s="19"/>
    </row>
    <row r="102" spans="2:25" ht="21.75" customHeight="1" x14ac:dyDescent="0.3">
      <c r="C102" s="23"/>
      <c r="D102" s="23"/>
      <c r="E102" s="19"/>
      <c r="F102" s="4"/>
      <c r="G102" s="38"/>
      <c r="I102" s="4"/>
      <c r="J102" s="19"/>
      <c r="K102" s="4"/>
      <c r="M102" s="38"/>
      <c r="N102" s="4"/>
      <c r="V102" s="19"/>
    </row>
    <row r="103" spans="2:25" ht="21.75" customHeight="1" x14ac:dyDescent="0.3">
      <c r="C103" s="23"/>
      <c r="D103" s="23"/>
      <c r="E103" s="19"/>
      <c r="F103" s="4"/>
      <c r="G103" s="38"/>
      <c r="I103" s="4"/>
      <c r="J103" s="19"/>
      <c r="K103" s="4"/>
      <c r="M103" s="38"/>
      <c r="N103" s="4"/>
      <c r="V103" s="19"/>
    </row>
    <row r="104" spans="2:25" ht="21.75" customHeight="1" x14ac:dyDescent="0.3">
      <c r="C104" s="23"/>
      <c r="D104" s="23"/>
      <c r="E104" s="19"/>
      <c r="F104" s="4"/>
      <c r="G104" s="38"/>
      <c r="I104" s="4"/>
      <c r="J104" s="19"/>
      <c r="K104" s="4"/>
      <c r="M104" s="38"/>
      <c r="N104" s="4"/>
      <c r="V104" s="19"/>
    </row>
    <row r="105" spans="2:25" ht="21.75" customHeight="1" x14ac:dyDescent="0.3">
      <c r="C105" s="23"/>
      <c r="D105" s="23"/>
      <c r="E105" s="19"/>
      <c r="F105" s="4"/>
      <c r="G105" s="38"/>
      <c r="I105" s="4"/>
      <c r="J105" s="19"/>
      <c r="K105" s="4"/>
      <c r="M105" s="38"/>
      <c r="N105" s="4"/>
      <c r="V105" s="19"/>
    </row>
    <row r="106" spans="2:25" ht="21.75" customHeight="1" x14ac:dyDescent="0.3">
      <c r="C106" s="23"/>
      <c r="D106" s="23"/>
      <c r="E106" s="19"/>
      <c r="F106" s="4"/>
      <c r="G106" s="38"/>
      <c r="I106" s="4"/>
      <c r="J106" s="19"/>
      <c r="K106" s="4"/>
      <c r="M106" s="38"/>
      <c r="N106" s="4"/>
      <c r="V106" s="19"/>
    </row>
    <row r="107" spans="2:25" ht="21.75" customHeight="1" x14ac:dyDescent="0.3">
      <c r="C107" s="23"/>
      <c r="D107" s="23"/>
      <c r="E107" s="19"/>
      <c r="F107" s="4"/>
      <c r="G107" s="38"/>
      <c r="I107" s="4"/>
      <c r="J107" s="19"/>
      <c r="K107" s="4"/>
      <c r="M107" s="38"/>
      <c r="N107" s="4"/>
      <c r="V107" s="19"/>
    </row>
    <row r="108" spans="2:25" ht="21.75" customHeight="1" x14ac:dyDescent="0.3">
      <c r="C108" s="23"/>
      <c r="D108" s="23"/>
      <c r="E108" s="19"/>
      <c r="F108" s="4"/>
      <c r="G108" s="38"/>
      <c r="I108" s="4"/>
      <c r="J108" s="19"/>
      <c r="K108" s="4"/>
      <c r="M108" s="38"/>
      <c r="N108" s="4"/>
      <c r="V108" s="19"/>
    </row>
    <row r="109" spans="2:25" ht="21.75" customHeight="1" x14ac:dyDescent="0.3">
      <c r="C109" s="23"/>
      <c r="D109" s="23"/>
      <c r="E109" s="19"/>
      <c r="F109" s="4"/>
      <c r="G109" s="38"/>
      <c r="I109" s="4"/>
      <c r="J109" s="19"/>
      <c r="K109" s="4"/>
      <c r="M109" s="38"/>
      <c r="N109" s="4"/>
      <c r="V109" s="19"/>
    </row>
    <row r="110" spans="2:25" ht="21.75" customHeight="1" x14ac:dyDescent="0.3">
      <c r="C110" s="23"/>
      <c r="D110" s="23"/>
      <c r="E110" s="19"/>
      <c r="F110" s="4"/>
      <c r="G110" s="38"/>
      <c r="I110" s="4"/>
      <c r="J110" s="19"/>
      <c r="K110" s="4"/>
      <c r="M110" s="38"/>
      <c r="N110" s="4"/>
      <c r="V110" s="19"/>
    </row>
    <row r="111" spans="2:25" ht="21.75" customHeight="1" x14ac:dyDescent="0.3">
      <c r="C111" s="23"/>
      <c r="D111" s="23"/>
      <c r="E111" s="19"/>
      <c r="F111" s="4"/>
      <c r="G111" s="38"/>
      <c r="I111" s="4"/>
      <c r="J111" s="19"/>
      <c r="K111" s="4"/>
      <c r="M111" s="38"/>
      <c r="N111" s="4"/>
      <c r="V111" s="19"/>
    </row>
    <row r="112" spans="2:25" ht="21.75" customHeight="1" x14ac:dyDescent="0.3">
      <c r="C112" s="23"/>
      <c r="D112" s="23"/>
      <c r="E112" s="19"/>
      <c r="F112" s="4"/>
      <c r="G112" s="38"/>
      <c r="I112" s="4"/>
      <c r="J112" s="19"/>
      <c r="K112" s="4"/>
      <c r="M112" s="38"/>
      <c r="N112" s="4"/>
      <c r="T112" s="6"/>
      <c r="U112" s="60"/>
      <c r="V112" s="19"/>
      <c r="W112" s="28"/>
      <c r="X112" s="66"/>
      <c r="Y112" s="4"/>
    </row>
    <row r="113" spans="3:25" ht="21.75" customHeight="1" x14ac:dyDescent="0.3">
      <c r="C113" s="23"/>
      <c r="D113" s="23"/>
      <c r="E113" s="19"/>
      <c r="F113" s="4"/>
      <c r="G113" s="38"/>
      <c r="I113" s="4"/>
      <c r="J113" s="19"/>
      <c r="K113" s="4"/>
      <c r="M113" s="38"/>
      <c r="N113" s="4"/>
      <c r="T113" s="6"/>
      <c r="U113" s="60"/>
      <c r="V113" s="19"/>
      <c r="W113" s="28"/>
      <c r="X113" s="66"/>
      <c r="Y113" s="4"/>
    </row>
    <row r="114" spans="3:25" ht="21.75" customHeight="1" x14ac:dyDescent="0.3">
      <c r="E114" s="19"/>
      <c r="F114" s="4"/>
      <c r="G114" s="38"/>
      <c r="I114" s="4"/>
      <c r="J114" s="19"/>
      <c r="K114" s="4"/>
      <c r="T114" s="6"/>
      <c r="U114" s="60"/>
      <c r="V114" s="19"/>
      <c r="W114" s="28"/>
      <c r="X114" s="66"/>
      <c r="Y114" s="4"/>
    </row>
    <row r="115" spans="3:25" ht="21.75" customHeight="1" x14ac:dyDescent="0.3">
      <c r="T115" s="4"/>
      <c r="U115" s="60"/>
      <c r="V115" s="19"/>
      <c r="W115" s="28"/>
      <c r="X115" s="66"/>
      <c r="Y115" s="4"/>
    </row>
    <row r="116" spans="3:25" ht="21.75" customHeight="1" x14ac:dyDescent="0.3">
      <c r="T116" s="4"/>
      <c r="U116" s="60"/>
      <c r="V116" s="19"/>
      <c r="W116" s="28"/>
      <c r="X116" s="66"/>
      <c r="Y116" s="4"/>
    </row>
    <row r="117" spans="3:25" ht="21.75" customHeight="1" x14ac:dyDescent="0.3">
      <c r="T117" s="4"/>
      <c r="U117" s="60"/>
      <c r="V117" s="19"/>
      <c r="W117" s="28"/>
      <c r="X117" s="66"/>
      <c r="Y117" s="4"/>
    </row>
    <row r="118" spans="3:25" ht="21.75" customHeight="1" x14ac:dyDescent="0.3">
      <c r="T118" s="4"/>
      <c r="U118" s="60"/>
      <c r="V118" s="19"/>
      <c r="W118" s="28"/>
      <c r="X118" s="66"/>
      <c r="Y118" s="4"/>
    </row>
    <row r="119" spans="3:25" ht="21.75" customHeight="1" x14ac:dyDescent="0.3">
      <c r="T119" s="4"/>
      <c r="U119" s="60"/>
      <c r="V119" s="19"/>
      <c r="W119" s="28"/>
      <c r="X119" s="66"/>
      <c r="Y119" s="4"/>
    </row>
    <row r="120" spans="3:25" x14ac:dyDescent="0.3">
      <c r="T120" s="4"/>
      <c r="U120" s="60"/>
      <c r="V120" s="19"/>
      <c r="W120" s="28"/>
      <c r="X120" s="66"/>
      <c r="Y120" s="4"/>
    </row>
  </sheetData>
  <mergeCells count="9">
    <mergeCell ref="K32:L32"/>
    <mergeCell ref="K18:L18"/>
    <mergeCell ref="A1:G1"/>
    <mergeCell ref="A4:B4"/>
    <mergeCell ref="F4:G4"/>
    <mergeCell ref="A32:B32"/>
    <mergeCell ref="F32:G32"/>
    <mergeCell ref="A18:B18"/>
    <mergeCell ref="F18:G18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8" fitToHeight="0" orientation="landscape" r:id="rId1"/>
  <headerFooter alignWithMargins="0">
    <oddFooter>&amp;R&amp;"Arial Narrow,Standard"Seite &amp;P von &amp;N</oddFooter>
  </headerFooter>
  <rowBreaks count="1" manualBreakCount="1">
    <brk id="30" max="1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575A-42CC-4FD3-8C6F-5F0216DD5BCC}">
  <sheetPr>
    <pageSetUpPr fitToPage="1"/>
  </sheetPr>
  <dimension ref="A1:Z132"/>
  <sheetViews>
    <sheetView topLeftCell="A18" zoomScale="60" zoomScaleNormal="60" zoomScaleSheetLayoutView="85" zoomScalePageLayoutView="80" workbookViewId="0">
      <selection activeCell="B25" sqref="B25"/>
    </sheetView>
  </sheetViews>
  <sheetFormatPr baseColWidth="10" defaultColWidth="11.42578125" defaultRowHeight="18.75" x14ac:dyDescent="0.3"/>
  <cols>
    <col min="1" max="1" width="4.5703125" style="19" bestFit="1" customWidth="1"/>
    <col min="2" max="2" width="50" style="4" customWidth="1"/>
    <col min="3" max="3" width="7.85546875" style="125" bestFit="1" customWidth="1"/>
    <col min="4" max="4" width="5.7109375" style="124" bestFit="1" customWidth="1"/>
    <col min="5" max="5" width="6.42578125" style="4" customWidth="1"/>
    <col min="6" max="6" width="4.5703125" style="19" bestFit="1" customWidth="1"/>
    <col min="7" max="7" width="50" style="4" customWidth="1"/>
    <col min="8" max="8" width="7.85546875" style="125" bestFit="1" customWidth="1"/>
    <col min="9" max="9" width="5.7109375" style="124" bestFit="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7.85546875" style="19" bestFit="1" customWidth="1"/>
    <col min="14" max="14" width="5.7109375" style="28" bestFit="1" customWidth="1"/>
    <col min="15" max="15" width="9.140625" style="4" customWidth="1"/>
    <col min="16" max="16" width="4.42578125" style="4" customWidth="1"/>
    <col min="17" max="17" width="42.85546875" style="126" customWidth="1"/>
    <col min="18" max="18" width="7.85546875" style="67" bestFit="1" customWidth="1"/>
    <col min="19" max="19" width="8.42578125" style="68" bestFit="1" customWidth="1"/>
    <col min="20" max="20" width="11.42578125" style="4"/>
    <col min="21" max="21" width="4.42578125" style="66" bestFit="1" customWidth="1"/>
    <col min="22" max="22" width="42.85546875" style="126" customWidth="1"/>
    <col min="23" max="23" width="7.85546875" style="67" bestFit="1" customWidth="1"/>
    <col min="24" max="24" width="7.140625" style="68" customWidth="1"/>
    <col min="25" max="16384" width="11.42578125" style="4"/>
  </cols>
  <sheetData>
    <row r="1" spans="1:25" ht="30" customHeight="1" x14ac:dyDescent="0.5">
      <c r="A1" s="204" t="s">
        <v>362</v>
      </c>
      <c r="B1" s="204"/>
      <c r="C1" s="204"/>
      <c r="D1" s="204"/>
      <c r="E1" s="204"/>
      <c r="F1" s="204"/>
      <c r="G1" s="204"/>
      <c r="H1" s="84"/>
      <c r="I1" s="85"/>
      <c r="J1" s="1"/>
      <c r="K1" s="1"/>
      <c r="L1" s="2" t="s">
        <v>541</v>
      </c>
      <c r="M1" s="44"/>
      <c r="N1" s="45"/>
      <c r="O1" s="3"/>
      <c r="Q1" s="120" t="s">
        <v>312</v>
      </c>
      <c r="R1" s="19"/>
      <c r="S1" s="46" t="s">
        <v>292</v>
      </c>
      <c r="T1" s="188">
        <f>COUNTIF($T$6:T$52,S1)</f>
        <v>10</v>
      </c>
      <c r="U1" s="70"/>
      <c r="V1" s="79"/>
      <c r="W1" s="23"/>
      <c r="X1" s="46" t="s">
        <v>292</v>
      </c>
      <c r="Y1" s="188">
        <f>COUNTIF($Y$6:$Y$52,X1)</f>
        <v>10</v>
      </c>
    </row>
    <row r="2" spans="1:25" s="6" customFormat="1" ht="37.5" customHeight="1" x14ac:dyDescent="0.3">
      <c r="A2" s="5"/>
      <c r="C2" s="23"/>
      <c r="D2" s="46"/>
      <c r="F2" s="5"/>
      <c r="H2" s="23"/>
      <c r="I2" s="46"/>
      <c r="K2" s="5"/>
      <c r="M2" s="5"/>
      <c r="N2" s="29"/>
      <c r="P2" s="4"/>
      <c r="Q2" s="109" t="s">
        <v>294</v>
      </c>
      <c r="R2" s="19"/>
      <c r="S2" s="46" t="s">
        <v>293</v>
      </c>
      <c r="T2" s="188">
        <f>COUNTIF($T$6:T$60,S2)</f>
        <v>36</v>
      </c>
      <c r="U2" s="70"/>
      <c r="V2" s="79"/>
      <c r="W2" s="23"/>
      <c r="X2" s="46" t="s">
        <v>293</v>
      </c>
      <c r="Y2" s="188">
        <f>COUNTIF($Y$6:$Y$60,X2)</f>
        <v>37</v>
      </c>
    </row>
    <row r="3" spans="1:25" s="6" customFormat="1" ht="22.5" customHeight="1" x14ac:dyDescent="0.3">
      <c r="A3" s="7" t="s">
        <v>0</v>
      </c>
      <c r="B3" s="8" t="s">
        <v>530</v>
      </c>
      <c r="C3" s="82"/>
      <c r="D3" s="83"/>
      <c r="E3" s="8"/>
      <c r="F3" s="7" t="s">
        <v>0</v>
      </c>
      <c r="G3" s="8" t="s">
        <v>116</v>
      </c>
      <c r="H3" s="82"/>
      <c r="I3" s="83"/>
      <c r="K3" s="7"/>
      <c r="L3" s="8"/>
      <c r="M3" s="7"/>
      <c r="N3" s="39"/>
      <c r="P3" s="4"/>
      <c r="Q3" s="142" t="s">
        <v>430</v>
      </c>
      <c r="R3" s="19"/>
      <c r="S3" s="28"/>
      <c r="T3" s="4"/>
      <c r="U3" s="4"/>
      <c r="V3" s="60"/>
      <c r="W3" s="19"/>
      <c r="X3" s="28"/>
      <c r="Y3" s="4"/>
    </row>
    <row r="4" spans="1:25" s="9" customFormat="1" ht="26.25" customHeight="1" x14ac:dyDescent="0.25">
      <c r="A4" s="198" t="s">
        <v>188</v>
      </c>
      <c r="B4" s="199"/>
      <c r="C4" s="22" t="s">
        <v>168</v>
      </c>
      <c r="D4" s="27" t="s">
        <v>167</v>
      </c>
      <c r="E4" s="21"/>
      <c r="F4" s="198" t="s">
        <v>189</v>
      </c>
      <c r="G4" s="199"/>
      <c r="H4" s="22" t="s">
        <v>168</v>
      </c>
      <c r="I4" s="27" t="s">
        <v>167</v>
      </c>
      <c r="K4" s="7"/>
      <c r="L4" s="8"/>
      <c r="M4" s="42"/>
      <c r="N4" s="43"/>
      <c r="P4" s="6"/>
      <c r="Q4" s="127" t="s">
        <v>527</v>
      </c>
      <c r="R4" s="5"/>
      <c r="S4" s="29"/>
      <c r="T4" s="6"/>
      <c r="U4" s="6"/>
      <c r="V4" s="16"/>
      <c r="W4" s="5"/>
      <c r="X4" s="29"/>
      <c r="Y4" s="6"/>
    </row>
    <row r="5" spans="1:25" s="6" customFormat="1" ht="22.5" customHeight="1" x14ac:dyDescent="0.3">
      <c r="A5" s="10" t="s">
        <v>1</v>
      </c>
      <c r="B5" s="11" t="s">
        <v>181</v>
      </c>
      <c r="C5" s="23">
        <f t="shared" ref="C5:C14" si="0">VLOOKUP(B5,$Q:$S,2,0)</f>
        <v>19</v>
      </c>
      <c r="D5" s="46">
        <f t="shared" ref="D5:D14" si="1">VLOOKUP(B5,$Q:$S,3,0)</f>
        <v>2.7142857142857144</v>
      </c>
      <c r="E5" s="16"/>
      <c r="F5" s="10" t="s">
        <v>1</v>
      </c>
      <c r="G5" s="11" t="s">
        <v>18</v>
      </c>
      <c r="H5" s="23">
        <f t="shared" ref="H5:H14" si="2">VLOOKUP(G5,$V:$X,2,0)</f>
        <v>21</v>
      </c>
      <c r="I5" s="46">
        <f t="shared" ref="I5:I14" si="3">VLOOKUP(G5,$V:$X,3,0)</f>
        <v>3</v>
      </c>
      <c r="K5" s="7"/>
      <c r="L5" s="8"/>
      <c r="M5" s="40"/>
      <c r="N5" s="41"/>
      <c r="P5" s="123"/>
      <c r="Q5" s="110" t="s">
        <v>170</v>
      </c>
      <c r="R5" s="22" t="s">
        <v>168</v>
      </c>
      <c r="S5" s="27" t="s">
        <v>167</v>
      </c>
      <c r="T5" s="111"/>
      <c r="U5" s="111"/>
      <c r="V5" s="110" t="s">
        <v>171</v>
      </c>
      <c r="W5" s="22" t="s">
        <v>168</v>
      </c>
      <c r="X5" s="27" t="s">
        <v>167</v>
      </c>
    </row>
    <row r="6" spans="1:25" s="6" customFormat="1" ht="22.5" customHeight="1" x14ac:dyDescent="0.25">
      <c r="A6" s="12" t="s">
        <v>2</v>
      </c>
      <c r="B6" s="13" t="s">
        <v>97</v>
      </c>
      <c r="C6" s="23">
        <f t="shared" si="0"/>
        <v>15</v>
      </c>
      <c r="D6" s="46">
        <f t="shared" si="1"/>
        <v>2.1428571428571428</v>
      </c>
      <c r="E6" s="16"/>
      <c r="F6" s="12" t="s">
        <v>2</v>
      </c>
      <c r="G6" s="13" t="s">
        <v>21</v>
      </c>
      <c r="H6" s="23">
        <f t="shared" si="2"/>
        <v>18</v>
      </c>
      <c r="I6" s="46">
        <f t="shared" si="3"/>
        <v>2.5714285714285716</v>
      </c>
      <c r="K6" s="7"/>
      <c r="L6" s="8"/>
      <c r="M6" s="40"/>
      <c r="N6" s="41"/>
      <c r="P6" s="69" t="s">
        <v>1</v>
      </c>
      <c r="Q6" s="64" t="s">
        <v>181</v>
      </c>
      <c r="R6" s="57">
        <v>19</v>
      </c>
      <c r="S6" s="63">
        <v>2.7142857142857144</v>
      </c>
      <c r="T6" s="9" t="s">
        <v>292</v>
      </c>
      <c r="U6" s="69" t="s">
        <v>1</v>
      </c>
      <c r="V6" s="64" t="s">
        <v>18</v>
      </c>
      <c r="W6" s="57">
        <v>21</v>
      </c>
      <c r="X6" s="63">
        <v>3</v>
      </c>
      <c r="Y6" s="9" t="s">
        <v>292</v>
      </c>
    </row>
    <row r="7" spans="1:25" s="6" customFormat="1" ht="22.5" customHeight="1" x14ac:dyDescent="0.25">
      <c r="A7" s="12" t="s">
        <v>3</v>
      </c>
      <c r="B7" s="13" t="s">
        <v>308</v>
      </c>
      <c r="C7" s="23">
        <f t="shared" si="0"/>
        <v>12</v>
      </c>
      <c r="D7" s="46">
        <f t="shared" si="1"/>
        <v>1.7142857142857142</v>
      </c>
      <c r="E7" s="16"/>
      <c r="F7" s="12" t="s">
        <v>3</v>
      </c>
      <c r="G7" s="13" t="s">
        <v>347</v>
      </c>
      <c r="H7" s="23">
        <f t="shared" si="2"/>
        <v>19</v>
      </c>
      <c r="I7" s="46">
        <f t="shared" si="3"/>
        <v>2.7142857142857144</v>
      </c>
      <c r="K7" s="7"/>
      <c r="L7" s="8"/>
      <c r="M7" s="40"/>
      <c r="N7" s="41"/>
      <c r="P7" s="25" t="s">
        <v>2</v>
      </c>
      <c r="Q7" s="16" t="s">
        <v>97</v>
      </c>
      <c r="R7" s="5">
        <v>15</v>
      </c>
      <c r="S7" s="30">
        <v>2.1428571428571428</v>
      </c>
      <c r="T7" s="9" t="s">
        <v>292</v>
      </c>
      <c r="U7" s="25" t="s">
        <v>2</v>
      </c>
      <c r="V7" s="16" t="s">
        <v>21</v>
      </c>
      <c r="W7" s="5">
        <v>18</v>
      </c>
      <c r="X7" s="30">
        <v>2.5714285714285716</v>
      </c>
      <c r="Y7" s="6" t="s">
        <v>292</v>
      </c>
    </row>
    <row r="8" spans="1:25" s="6" customFormat="1" ht="22.5" customHeight="1" x14ac:dyDescent="0.25">
      <c r="A8" s="12" t="s">
        <v>4</v>
      </c>
      <c r="B8" s="13" t="s">
        <v>336</v>
      </c>
      <c r="C8" s="23">
        <f t="shared" si="0"/>
        <v>18</v>
      </c>
      <c r="D8" s="46">
        <f t="shared" si="1"/>
        <v>2.5714285714285716</v>
      </c>
      <c r="E8" s="16"/>
      <c r="F8" s="12" t="s">
        <v>4</v>
      </c>
      <c r="G8" s="13" t="s">
        <v>39</v>
      </c>
      <c r="H8" s="23">
        <f t="shared" si="2"/>
        <v>16</v>
      </c>
      <c r="I8" s="46">
        <f t="shared" si="3"/>
        <v>2.2857142857142856</v>
      </c>
      <c r="K8" s="7"/>
      <c r="L8" s="8"/>
      <c r="M8" s="40"/>
      <c r="N8" s="41"/>
      <c r="P8" s="25" t="s">
        <v>3</v>
      </c>
      <c r="Q8" s="16" t="s">
        <v>308</v>
      </c>
      <c r="R8" s="5">
        <v>12</v>
      </c>
      <c r="S8" s="30">
        <v>1.7142857142857142</v>
      </c>
      <c r="T8" s="9" t="s">
        <v>292</v>
      </c>
      <c r="U8" s="25" t="s">
        <v>3</v>
      </c>
      <c r="V8" s="127" t="s">
        <v>20</v>
      </c>
      <c r="W8" s="5">
        <v>13</v>
      </c>
      <c r="X8" s="30">
        <v>1.8571428571428572</v>
      </c>
      <c r="Y8" s="6" t="s">
        <v>293</v>
      </c>
    </row>
    <row r="9" spans="1:25" s="6" customFormat="1" ht="22.5" customHeight="1" x14ac:dyDescent="0.25">
      <c r="A9" s="12" t="s">
        <v>5</v>
      </c>
      <c r="B9" s="13" t="s">
        <v>84</v>
      </c>
      <c r="C9" s="23">
        <f t="shared" si="0"/>
        <v>18</v>
      </c>
      <c r="D9" s="46">
        <f t="shared" si="1"/>
        <v>2.5714285714285716</v>
      </c>
      <c r="E9" s="16"/>
      <c r="F9" s="12" t="s">
        <v>5</v>
      </c>
      <c r="G9" s="13" t="s">
        <v>14</v>
      </c>
      <c r="H9" s="23">
        <f t="shared" si="2"/>
        <v>15</v>
      </c>
      <c r="I9" s="46">
        <f t="shared" si="3"/>
        <v>2.1428571428571428</v>
      </c>
      <c r="K9" s="7"/>
      <c r="L9" s="8"/>
      <c r="M9" s="40"/>
      <c r="N9" s="41"/>
      <c r="P9" s="25" t="s">
        <v>4</v>
      </c>
      <c r="Q9" s="127" t="s">
        <v>30</v>
      </c>
      <c r="R9" s="5">
        <v>10</v>
      </c>
      <c r="S9" s="30">
        <v>1.4285714285714286</v>
      </c>
      <c r="T9" s="9" t="s">
        <v>293</v>
      </c>
      <c r="U9" s="25" t="s">
        <v>4</v>
      </c>
      <c r="V9" s="127" t="s">
        <v>343</v>
      </c>
      <c r="W9" s="5">
        <v>12</v>
      </c>
      <c r="X9" s="30">
        <v>1.7142857142857142</v>
      </c>
      <c r="Y9" s="6" t="s">
        <v>293</v>
      </c>
    </row>
    <row r="10" spans="1:25" s="6" customFormat="1" ht="22.5" customHeight="1" x14ac:dyDescent="0.25">
      <c r="A10" s="12" t="s">
        <v>6</v>
      </c>
      <c r="B10" s="13" t="s">
        <v>337</v>
      </c>
      <c r="C10" s="23">
        <f t="shared" si="0"/>
        <v>13</v>
      </c>
      <c r="D10" s="46">
        <f t="shared" si="1"/>
        <v>1.8571428571428572</v>
      </c>
      <c r="E10" s="16"/>
      <c r="F10" s="12" t="s">
        <v>6</v>
      </c>
      <c r="G10" s="13" t="s">
        <v>351</v>
      </c>
      <c r="H10" s="23">
        <f t="shared" si="2"/>
        <v>19</v>
      </c>
      <c r="I10" s="46">
        <f t="shared" si="3"/>
        <v>2.7142857142857144</v>
      </c>
      <c r="K10" s="7"/>
      <c r="L10" s="8"/>
      <c r="M10" s="40"/>
      <c r="N10" s="41"/>
      <c r="P10" s="25" t="s">
        <v>5</v>
      </c>
      <c r="Q10" s="127" t="s">
        <v>334</v>
      </c>
      <c r="R10" s="5">
        <v>9</v>
      </c>
      <c r="S10" s="30">
        <v>1.2857142857142858</v>
      </c>
      <c r="T10" s="9" t="s">
        <v>293</v>
      </c>
      <c r="U10" s="25" t="s">
        <v>5</v>
      </c>
      <c r="V10" s="16" t="s">
        <v>344</v>
      </c>
      <c r="W10" s="5">
        <v>7</v>
      </c>
      <c r="X10" s="30">
        <v>1</v>
      </c>
      <c r="Y10" s="6" t="s">
        <v>293</v>
      </c>
    </row>
    <row r="11" spans="1:25" s="6" customFormat="1" ht="22.5" customHeight="1" x14ac:dyDescent="0.25">
      <c r="A11" s="12" t="s">
        <v>7</v>
      </c>
      <c r="B11" s="13" t="s">
        <v>83</v>
      </c>
      <c r="C11" s="23">
        <f t="shared" si="0"/>
        <v>12</v>
      </c>
      <c r="D11" s="46">
        <f t="shared" si="1"/>
        <v>1.7142857142857142</v>
      </c>
      <c r="E11" s="16"/>
      <c r="F11" s="12" t="s">
        <v>7</v>
      </c>
      <c r="G11" s="13" t="s">
        <v>352</v>
      </c>
      <c r="H11" s="23">
        <f t="shared" si="2"/>
        <v>18</v>
      </c>
      <c r="I11" s="46">
        <f t="shared" si="3"/>
        <v>2.5714285714285716</v>
      </c>
      <c r="K11" s="7"/>
      <c r="L11" s="8"/>
      <c r="M11" s="40"/>
      <c r="N11" s="41"/>
      <c r="P11" s="25" t="s">
        <v>6</v>
      </c>
      <c r="Q11" s="127" t="s">
        <v>56</v>
      </c>
      <c r="R11" s="5">
        <v>7</v>
      </c>
      <c r="S11" s="30">
        <v>1</v>
      </c>
      <c r="T11" s="9" t="s">
        <v>293</v>
      </c>
      <c r="U11" s="25" t="s">
        <v>6</v>
      </c>
      <c r="V11" s="16" t="s">
        <v>248</v>
      </c>
      <c r="W11" s="5">
        <v>7</v>
      </c>
      <c r="X11" s="30">
        <v>1</v>
      </c>
      <c r="Y11" s="6" t="s">
        <v>293</v>
      </c>
    </row>
    <row r="12" spans="1:25" s="6" customFormat="1" ht="22.5" customHeight="1" x14ac:dyDescent="0.25">
      <c r="A12" s="12" t="s">
        <v>8</v>
      </c>
      <c r="B12" s="13" t="s">
        <v>86</v>
      </c>
      <c r="C12" s="23">
        <f t="shared" si="0"/>
        <v>21</v>
      </c>
      <c r="D12" s="46">
        <f t="shared" si="1"/>
        <v>3</v>
      </c>
      <c r="E12" s="16"/>
      <c r="F12" s="12" t="s">
        <v>8</v>
      </c>
      <c r="G12" s="13" t="s">
        <v>25</v>
      </c>
      <c r="H12" s="23">
        <f t="shared" si="2"/>
        <v>15</v>
      </c>
      <c r="I12" s="46">
        <f t="shared" si="3"/>
        <v>2.1428571428571428</v>
      </c>
      <c r="K12" s="7"/>
      <c r="L12" s="8"/>
      <c r="M12" s="40"/>
      <c r="N12" s="41"/>
      <c r="P12" s="25" t="s">
        <v>7</v>
      </c>
      <c r="Q12" s="16" t="s">
        <v>78</v>
      </c>
      <c r="R12" s="5">
        <v>6</v>
      </c>
      <c r="S12" s="30">
        <v>0.8571428571428571</v>
      </c>
      <c r="T12" s="9" t="s">
        <v>293</v>
      </c>
      <c r="U12" s="25" t="s">
        <v>7</v>
      </c>
      <c r="V12" s="16" t="s">
        <v>345</v>
      </c>
      <c r="W12" s="5">
        <v>3</v>
      </c>
      <c r="X12" s="30">
        <v>0.42857142857142855</v>
      </c>
      <c r="Y12" s="6" t="s">
        <v>293</v>
      </c>
    </row>
    <row r="13" spans="1:25" s="6" customFormat="1" ht="22.5" customHeight="1" x14ac:dyDescent="0.25">
      <c r="A13" s="12" t="s">
        <v>9</v>
      </c>
      <c r="B13" s="13" t="s">
        <v>339</v>
      </c>
      <c r="C13" s="23">
        <f t="shared" si="0"/>
        <v>16</v>
      </c>
      <c r="D13" s="46">
        <f t="shared" si="1"/>
        <v>2.2857142857142856</v>
      </c>
      <c r="E13" s="16"/>
      <c r="F13" s="12" t="s">
        <v>9</v>
      </c>
      <c r="G13" s="13" t="s">
        <v>33</v>
      </c>
      <c r="H13" s="23">
        <f t="shared" si="2"/>
        <v>22</v>
      </c>
      <c r="I13" s="46">
        <f t="shared" si="3"/>
        <v>2.75</v>
      </c>
      <c r="K13" s="7"/>
      <c r="L13" s="8"/>
      <c r="M13" s="40"/>
      <c r="N13" s="41"/>
      <c r="P13" s="26" t="s">
        <v>8</v>
      </c>
      <c r="Q13" s="33" t="s">
        <v>335</v>
      </c>
      <c r="R13" s="31">
        <v>0</v>
      </c>
      <c r="S13" s="32">
        <v>0</v>
      </c>
      <c r="T13" s="9" t="s">
        <v>293</v>
      </c>
      <c r="U13" s="26" t="s">
        <v>8</v>
      </c>
      <c r="V13" s="33" t="s">
        <v>346</v>
      </c>
      <c r="W13" s="31">
        <v>1</v>
      </c>
      <c r="X13" s="32">
        <v>0.14285714285714285</v>
      </c>
      <c r="Y13" s="6" t="s">
        <v>293</v>
      </c>
    </row>
    <row r="14" spans="1:25" s="6" customFormat="1" ht="22.5" customHeight="1" x14ac:dyDescent="0.25">
      <c r="A14" s="14" t="s">
        <v>10</v>
      </c>
      <c r="B14" s="15" t="s">
        <v>340</v>
      </c>
      <c r="C14" s="23">
        <f t="shared" si="0"/>
        <v>13</v>
      </c>
      <c r="D14" s="46">
        <f t="shared" si="1"/>
        <v>1.8571428571428572</v>
      </c>
      <c r="E14" s="16"/>
      <c r="F14" s="14" t="s">
        <v>10</v>
      </c>
      <c r="G14" s="15" t="s">
        <v>356</v>
      </c>
      <c r="H14" s="23">
        <f t="shared" si="2"/>
        <v>19</v>
      </c>
      <c r="I14" s="46">
        <f t="shared" si="3"/>
        <v>2.375</v>
      </c>
      <c r="L14" s="8"/>
      <c r="M14" s="40"/>
      <c r="N14" s="41"/>
      <c r="Q14" s="16"/>
      <c r="R14" s="5"/>
      <c r="S14" s="29"/>
      <c r="V14" s="16"/>
      <c r="W14" s="5"/>
      <c r="X14" s="29"/>
    </row>
    <row r="15" spans="1:25" s="6" customFormat="1" ht="22.5" customHeight="1" x14ac:dyDescent="0.25">
      <c r="C15" s="23"/>
      <c r="D15" s="46"/>
      <c r="H15" s="23"/>
      <c r="I15" s="46"/>
      <c r="K15" s="5"/>
      <c r="L15" s="16"/>
      <c r="M15" s="5"/>
      <c r="N15" s="29"/>
      <c r="P15" s="69" t="s">
        <v>1</v>
      </c>
      <c r="Q15" s="64" t="s">
        <v>336</v>
      </c>
      <c r="R15" s="57">
        <v>18</v>
      </c>
      <c r="S15" s="63">
        <v>2.5714285714285716</v>
      </c>
      <c r="T15" s="6" t="s">
        <v>292</v>
      </c>
      <c r="U15" s="69" t="s">
        <v>1</v>
      </c>
      <c r="V15" s="64" t="s">
        <v>347</v>
      </c>
      <c r="W15" s="57">
        <v>19</v>
      </c>
      <c r="X15" s="63">
        <v>2.7142857142857144</v>
      </c>
      <c r="Y15" s="6" t="s">
        <v>292</v>
      </c>
    </row>
    <row r="16" spans="1:25" s="6" customFormat="1" ht="22.5" customHeight="1" x14ac:dyDescent="0.25">
      <c r="C16" s="23"/>
      <c r="D16" s="46"/>
      <c r="H16" s="23"/>
      <c r="I16" s="46"/>
      <c r="K16" s="5"/>
      <c r="L16" s="16"/>
      <c r="M16" s="5"/>
      <c r="N16" s="29"/>
      <c r="P16" s="25" t="s">
        <v>2</v>
      </c>
      <c r="Q16" s="16" t="s">
        <v>84</v>
      </c>
      <c r="R16" s="5">
        <v>18</v>
      </c>
      <c r="S16" s="30">
        <v>2.5714285714285716</v>
      </c>
      <c r="T16" s="6" t="s">
        <v>292</v>
      </c>
      <c r="U16" s="25" t="s">
        <v>2</v>
      </c>
      <c r="V16" s="16" t="s">
        <v>39</v>
      </c>
      <c r="W16" s="5">
        <v>16</v>
      </c>
      <c r="X16" s="30">
        <v>2.2857142857142856</v>
      </c>
      <c r="Y16" s="6" t="s">
        <v>292</v>
      </c>
    </row>
    <row r="17" spans="1:26" s="6" customFormat="1" ht="22.5" customHeight="1" x14ac:dyDescent="0.25">
      <c r="A17" s="7" t="s">
        <v>0</v>
      </c>
      <c r="B17" s="8" t="s">
        <v>531</v>
      </c>
      <c r="C17" s="82"/>
      <c r="D17" s="83"/>
      <c r="E17" s="8"/>
      <c r="F17" s="7" t="s">
        <v>0</v>
      </c>
      <c r="G17" s="8" t="s">
        <v>531</v>
      </c>
      <c r="H17" s="82"/>
      <c r="I17" s="83"/>
      <c r="K17" s="7" t="s">
        <v>0</v>
      </c>
      <c r="L17" s="8" t="s">
        <v>530</v>
      </c>
      <c r="M17" s="22"/>
      <c r="N17" s="27"/>
      <c r="P17" s="25" t="s">
        <v>3</v>
      </c>
      <c r="Q17" s="16" t="s">
        <v>337</v>
      </c>
      <c r="R17" s="5">
        <v>13</v>
      </c>
      <c r="S17" s="30">
        <v>1.8571428571428572</v>
      </c>
      <c r="T17" s="6" t="s">
        <v>292</v>
      </c>
      <c r="U17" s="25" t="s">
        <v>3</v>
      </c>
      <c r="V17" s="16" t="s">
        <v>14</v>
      </c>
      <c r="W17" s="5">
        <v>15</v>
      </c>
      <c r="X17" s="30">
        <v>2.1428571428571428</v>
      </c>
      <c r="Y17" s="6" t="s">
        <v>292</v>
      </c>
    </row>
    <row r="18" spans="1:26" s="9" customFormat="1" ht="26.25" customHeight="1" x14ac:dyDescent="0.3">
      <c r="A18" s="198" t="s">
        <v>203</v>
      </c>
      <c r="B18" s="199"/>
      <c r="C18" s="22" t="s">
        <v>168</v>
      </c>
      <c r="D18" s="27" t="s">
        <v>167</v>
      </c>
      <c r="E18" s="4"/>
      <c r="F18" s="198" t="s">
        <v>204</v>
      </c>
      <c r="G18" s="199"/>
      <c r="H18" s="22" t="s">
        <v>168</v>
      </c>
      <c r="I18" s="27" t="s">
        <v>167</v>
      </c>
      <c r="K18" s="198" t="s">
        <v>205</v>
      </c>
      <c r="L18" s="199"/>
      <c r="M18" s="22" t="s">
        <v>168</v>
      </c>
      <c r="N18" s="27" t="s">
        <v>167</v>
      </c>
      <c r="O18" s="6"/>
      <c r="P18" s="25" t="s">
        <v>4</v>
      </c>
      <c r="Q18" s="16" t="s">
        <v>83</v>
      </c>
      <c r="R18" s="5">
        <v>12</v>
      </c>
      <c r="S18" s="30">
        <v>1.7142857142857142</v>
      </c>
      <c r="T18" s="6" t="s">
        <v>292</v>
      </c>
      <c r="U18" s="25" t="s">
        <v>4</v>
      </c>
      <c r="V18" s="127" t="s">
        <v>15</v>
      </c>
      <c r="W18" s="5">
        <v>10</v>
      </c>
      <c r="X18" s="30">
        <v>1.4285714285714286</v>
      </c>
      <c r="Y18" s="6" t="s">
        <v>293</v>
      </c>
      <c r="Z18" s="6"/>
    </row>
    <row r="19" spans="1:26" s="6" customFormat="1" ht="22.5" customHeight="1" x14ac:dyDescent="0.25">
      <c r="A19" s="10" t="s">
        <v>1</v>
      </c>
      <c r="B19" s="11" t="s">
        <v>30</v>
      </c>
      <c r="C19" s="23">
        <f t="shared" ref="C19:C25" si="4">VLOOKUP(B19,$Q:$S,2,0)</f>
        <v>10</v>
      </c>
      <c r="D19" s="46">
        <f t="shared" ref="D19:D25" si="5">VLOOKUP(B19,$Q:$S,3,0)</f>
        <v>1.4285714285714286</v>
      </c>
      <c r="E19" s="16"/>
      <c r="F19" s="10" t="s">
        <v>1</v>
      </c>
      <c r="G19" s="11" t="s">
        <v>78</v>
      </c>
      <c r="H19" s="23">
        <f t="shared" ref="H19:H26" si="6">VLOOKUP(G19,$Q:$S,2,0)</f>
        <v>6</v>
      </c>
      <c r="I19" s="46">
        <f t="shared" ref="I19:I26" si="7">VLOOKUP(G19,$Q:$S,3,0)</f>
        <v>0.8571428571428571</v>
      </c>
      <c r="J19" s="6" t="s">
        <v>542</v>
      </c>
      <c r="K19" s="10" t="s">
        <v>1</v>
      </c>
      <c r="L19" s="11" t="s">
        <v>68</v>
      </c>
      <c r="M19" s="23">
        <f t="shared" ref="M19:M26" si="8">VLOOKUP(L19,$Q:$S,2,0)</f>
        <v>3</v>
      </c>
      <c r="N19" s="46">
        <f t="shared" ref="N19:N26" si="9">VLOOKUP(L19,$Q:$S,3,0)</f>
        <v>0.42857142857142855</v>
      </c>
      <c r="O19" s="6" t="s">
        <v>544</v>
      </c>
      <c r="P19" s="25" t="s">
        <v>5</v>
      </c>
      <c r="Q19" s="127" t="s">
        <v>31</v>
      </c>
      <c r="R19" s="5">
        <v>7</v>
      </c>
      <c r="S19" s="30">
        <v>1</v>
      </c>
      <c r="T19" s="6" t="s">
        <v>293</v>
      </c>
      <c r="U19" s="25" t="s">
        <v>5</v>
      </c>
      <c r="V19" s="127" t="s">
        <v>348</v>
      </c>
      <c r="W19" s="5">
        <v>10</v>
      </c>
      <c r="X19" s="30">
        <v>1.4285714285714286</v>
      </c>
      <c r="Y19" s="6" t="s">
        <v>293</v>
      </c>
    </row>
    <row r="20" spans="1:26" s="6" customFormat="1" ht="22.5" customHeight="1" x14ac:dyDescent="0.25">
      <c r="A20" s="12" t="s">
        <v>2</v>
      </c>
      <c r="B20" s="13" t="s">
        <v>334</v>
      </c>
      <c r="C20" s="23">
        <f t="shared" si="4"/>
        <v>9</v>
      </c>
      <c r="D20" s="46">
        <f t="shared" si="5"/>
        <v>1.2857142857142858</v>
      </c>
      <c r="E20" s="16"/>
      <c r="F20" s="12" t="s">
        <v>2</v>
      </c>
      <c r="G20" s="13" t="s">
        <v>338</v>
      </c>
      <c r="H20" s="23">
        <f t="shared" si="6"/>
        <v>6</v>
      </c>
      <c r="I20" s="46">
        <f t="shared" si="7"/>
        <v>0.8571428571428571</v>
      </c>
      <c r="J20" s="6" t="s">
        <v>543</v>
      </c>
      <c r="K20" s="12" t="s">
        <v>2</v>
      </c>
      <c r="L20" s="13" t="s">
        <v>342</v>
      </c>
      <c r="M20" s="23">
        <f t="shared" si="8"/>
        <v>0</v>
      </c>
      <c r="N20" s="46">
        <f t="shared" si="9"/>
        <v>0</v>
      </c>
      <c r="O20" s="6" t="s">
        <v>544</v>
      </c>
      <c r="P20" s="25" t="s">
        <v>6</v>
      </c>
      <c r="Q20" s="16" t="s">
        <v>338</v>
      </c>
      <c r="R20" s="5">
        <v>6</v>
      </c>
      <c r="S20" s="30">
        <v>0.8571428571428571</v>
      </c>
      <c r="T20" s="9" t="s">
        <v>293</v>
      </c>
      <c r="U20" s="25" t="s">
        <v>6</v>
      </c>
      <c r="V20" s="16" t="s">
        <v>16</v>
      </c>
      <c r="W20" s="5">
        <v>8</v>
      </c>
      <c r="X20" s="30">
        <v>1.1428571428571428</v>
      </c>
      <c r="Y20" s="6" t="s">
        <v>293</v>
      </c>
    </row>
    <row r="21" spans="1:26" s="6" customFormat="1" ht="22.5" customHeight="1" x14ac:dyDescent="0.25">
      <c r="A21" s="12" t="s">
        <v>3</v>
      </c>
      <c r="B21" s="13" t="s">
        <v>56</v>
      </c>
      <c r="C21" s="23">
        <f t="shared" si="4"/>
        <v>7</v>
      </c>
      <c r="D21" s="46">
        <f t="shared" si="5"/>
        <v>1</v>
      </c>
      <c r="E21" s="16"/>
      <c r="F21" s="12" t="s">
        <v>3</v>
      </c>
      <c r="G21" s="13" t="s">
        <v>53</v>
      </c>
      <c r="H21" s="23">
        <f t="shared" si="6"/>
        <v>6</v>
      </c>
      <c r="I21" s="46">
        <f t="shared" si="7"/>
        <v>0.8571428571428571</v>
      </c>
      <c r="J21" s="6" t="s">
        <v>543</v>
      </c>
      <c r="K21" s="12" t="s">
        <v>3</v>
      </c>
      <c r="L21" s="13" t="s">
        <v>71</v>
      </c>
      <c r="M21" s="23">
        <f t="shared" si="8"/>
        <v>13</v>
      </c>
      <c r="N21" s="46">
        <f t="shared" si="9"/>
        <v>2.1666666666666665</v>
      </c>
      <c r="O21" s="6" t="s">
        <v>549</v>
      </c>
      <c r="P21" s="25" t="s">
        <v>7</v>
      </c>
      <c r="Q21" s="16" t="s">
        <v>53</v>
      </c>
      <c r="R21" s="5">
        <v>6</v>
      </c>
      <c r="S21" s="30">
        <v>0.8571428571428571</v>
      </c>
      <c r="T21" s="6" t="s">
        <v>293</v>
      </c>
      <c r="U21" s="25" t="s">
        <v>7</v>
      </c>
      <c r="V21" s="142" t="s">
        <v>349</v>
      </c>
      <c r="W21" s="5">
        <v>3</v>
      </c>
      <c r="X21" s="30">
        <v>0.42857142857142855</v>
      </c>
      <c r="Y21" s="6" t="s">
        <v>293</v>
      </c>
    </row>
    <row r="22" spans="1:26" s="6" customFormat="1" ht="22.5" customHeight="1" x14ac:dyDescent="0.25">
      <c r="A22" s="12" t="s">
        <v>4</v>
      </c>
      <c r="B22" s="13" t="s">
        <v>31</v>
      </c>
      <c r="C22" s="23">
        <f t="shared" si="4"/>
        <v>7</v>
      </c>
      <c r="D22" s="46">
        <f t="shared" si="5"/>
        <v>1</v>
      </c>
      <c r="E22" s="16"/>
      <c r="F22" s="12" t="s">
        <v>4</v>
      </c>
      <c r="G22" s="13" t="s">
        <v>307</v>
      </c>
      <c r="H22" s="23">
        <f>VLOOKUP(G22,$Q:$S,2,0)</f>
        <v>18</v>
      </c>
      <c r="I22" s="46">
        <f>VLOOKUP(G22,$Q:$S,3,0)</f>
        <v>3</v>
      </c>
      <c r="J22" s="6" t="s">
        <v>550</v>
      </c>
      <c r="K22" s="12" t="s">
        <v>4</v>
      </c>
      <c r="L22" s="13" t="s">
        <v>363</v>
      </c>
      <c r="M22" s="23">
        <f t="shared" si="8"/>
        <v>11</v>
      </c>
      <c r="N22" s="46">
        <f t="shared" si="9"/>
        <v>1.8333333333333333</v>
      </c>
      <c r="O22" s="6" t="s">
        <v>549</v>
      </c>
      <c r="P22" s="26" t="s">
        <v>8</v>
      </c>
      <c r="Q22" s="33" t="s">
        <v>94</v>
      </c>
      <c r="R22" s="31">
        <v>3</v>
      </c>
      <c r="S22" s="32">
        <v>0.42857142857142855</v>
      </c>
      <c r="T22" s="6" t="s">
        <v>293</v>
      </c>
      <c r="U22" s="26" t="s">
        <v>8</v>
      </c>
      <c r="V22" s="33" t="s">
        <v>350</v>
      </c>
      <c r="W22" s="31">
        <v>0</v>
      </c>
      <c r="X22" s="32">
        <v>0</v>
      </c>
      <c r="Y22" s="6" t="s">
        <v>293</v>
      </c>
    </row>
    <row r="23" spans="1:26" s="6" customFormat="1" ht="22.5" customHeight="1" x14ac:dyDescent="0.25">
      <c r="A23" s="12" t="s">
        <v>5</v>
      </c>
      <c r="B23" s="13" t="s">
        <v>341</v>
      </c>
      <c r="C23" s="23">
        <f t="shared" si="4"/>
        <v>12</v>
      </c>
      <c r="D23" s="46">
        <f t="shared" si="5"/>
        <v>1.7142857142857142</v>
      </c>
      <c r="E23" s="16"/>
      <c r="F23" s="12" t="s">
        <v>5</v>
      </c>
      <c r="G23" s="13" t="s">
        <v>58</v>
      </c>
      <c r="H23" s="23">
        <v>15</v>
      </c>
      <c r="I23" s="46">
        <v>2.5</v>
      </c>
      <c r="J23" s="6" t="s">
        <v>550</v>
      </c>
      <c r="K23" s="12" t="s">
        <v>5</v>
      </c>
      <c r="L23" s="13" t="s">
        <v>364</v>
      </c>
      <c r="M23" s="23">
        <f t="shared" si="8"/>
        <v>10</v>
      </c>
      <c r="N23" s="46">
        <f t="shared" si="9"/>
        <v>1.6666666666666667</v>
      </c>
      <c r="O23" s="6" t="s">
        <v>549</v>
      </c>
      <c r="Q23" s="16"/>
      <c r="R23" s="5"/>
      <c r="S23" s="29"/>
      <c r="V23" s="16"/>
      <c r="W23" s="5"/>
      <c r="X23" s="29"/>
    </row>
    <row r="24" spans="1:26" s="6" customFormat="1" ht="22.5" customHeight="1" x14ac:dyDescent="0.25">
      <c r="A24" s="12" t="s">
        <v>6</v>
      </c>
      <c r="B24" s="13" t="s">
        <v>74</v>
      </c>
      <c r="C24" s="23">
        <f t="shared" si="4"/>
        <v>10</v>
      </c>
      <c r="D24" s="46">
        <f t="shared" si="5"/>
        <v>1.4285714285714286</v>
      </c>
      <c r="E24" s="16"/>
      <c r="F24" s="12" t="s">
        <v>6</v>
      </c>
      <c r="G24" s="13" t="s">
        <v>368</v>
      </c>
      <c r="H24" s="23">
        <f t="shared" si="6"/>
        <v>10</v>
      </c>
      <c r="I24" s="46">
        <f t="shared" si="7"/>
        <v>1.6666666666666667</v>
      </c>
      <c r="J24" s="6" t="s">
        <v>550</v>
      </c>
      <c r="K24" s="12" t="s">
        <v>6</v>
      </c>
      <c r="L24" s="13" t="s">
        <v>435</v>
      </c>
      <c r="M24" s="23">
        <v>6</v>
      </c>
      <c r="N24" s="46">
        <v>1</v>
      </c>
      <c r="O24" s="6" t="s">
        <v>549</v>
      </c>
      <c r="P24" s="69" t="s">
        <v>1</v>
      </c>
      <c r="Q24" s="64" t="s">
        <v>86</v>
      </c>
      <c r="R24" s="57">
        <v>21</v>
      </c>
      <c r="S24" s="63">
        <v>3</v>
      </c>
      <c r="T24" s="6" t="s">
        <v>292</v>
      </c>
      <c r="U24" s="69" t="s">
        <v>1</v>
      </c>
      <c r="V24" s="64" t="s">
        <v>351</v>
      </c>
      <c r="W24" s="57">
        <v>19</v>
      </c>
      <c r="X24" s="63">
        <v>2.7142857142857144</v>
      </c>
      <c r="Y24" s="6" t="s">
        <v>292</v>
      </c>
    </row>
    <row r="25" spans="1:26" s="6" customFormat="1" ht="22.5" customHeight="1" x14ac:dyDescent="0.25">
      <c r="A25" s="12" t="s">
        <v>7</v>
      </c>
      <c r="B25" s="13" t="s">
        <v>87</v>
      </c>
      <c r="C25" s="23">
        <f t="shared" si="4"/>
        <v>7</v>
      </c>
      <c r="D25" s="46">
        <f t="shared" si="5"/>
        <v>1</v>
      </c>
      <c r="E25" s="16"/>
      <c r="F25" s="12" t="s">
        <v>7</v>
      </c>
      <c r="G25" s="13" t="s">
        <v>77</v>
      </c>
      <c r="H25" s="23">
        <f t="shared" si="6"/>
        <v>10</v>
      </c>
      <c r="I25" s="46">
        <f t="shared" si="7"/>
        <v>1.6666666666666667</v>
      </c>
      <c r="J25" s="6" t="s">
        <v>550</v>
      </c>
      <c r="K25" s="12" t="s">
        <v>7</v>
      </c>
      <c r="L25" s="13" t="s">
        <v>365</v>
      </c>
      <c r="M25" s="23">
        <f t="shared" si="8"/>
        <v>3</v>
      </c>
      <c r="N25" s="46">
        <f t="shared" si="9"/>
        <v>0.5</v>
      </c>
      <c r="O25" s="6" t="s">
        <v>549</v>
      </c>
      <c r="P25" s="25" t="s">
        <v>2</v>
      </c>
      <c r="Q25" s="16" t="s">
        <v>339</v>
      </c>
      <c r="R25" s="5">
        <v>16</v>
      </c>
      <c r="S25" s="30">
        <v>2.2857142857142856</v>
      </c>
      <c r="T25" s="6" t="s">
        <v>292</v>
      </c>
      <c r="U25" s="25" t="s">
        <v>2</v>
      </c>
      <c r="V25" s="16" t="s">
        <v>352</v>
      </c>
      <c r="W25" s="5">
        <v>18</v>
      </c>
      <c r="X25" s="30">
        <v>2.5714285714285716</v>
      </c>
      <c r="Y25" s="6" t="s">
        <v>292</v>
      </c>
    </row>
    <row r="26" spans="1:26" s="6" customFormat="1" ht="22.5" customHeight="1" x14ac:dyDescent="0.25">
      <c r="A26" s="12" t="s">
        <v>8</v>
      </c>
      <c r="B26" s="13" t="s">
        <v>85</v>
      </c>
      <c r="C26" s="23">
        <v>18</v>
      </c>
      <c r="D26" s="46">
        <v>3</v>
      </c>
      <c r="E26" s="16"/>
      <c r="F26" s="12" t="s">
        <v>8</v>
      </c>
      <c r="G26" s="13" t="s">
        <v>187</v>
      </c>
      <c r="H26" s="23">
        <f t="shared" si="6"/>
        <v>1</v>
      </c>
      <c r="I26" s="46">
        <f t="shared" si="7"/>
        <v>0.16666666666666666</v>
      </c>
      <c r="J26" s="6" t="s">
        <v>550</v>
      </c>
      <c r="K26" s="14" t="s">
        <v>8</v>
      </c>
      <c r="L26" s="15" t="s">
        <v>366</v>
      </c>
      <c r="M26" s="23">
        <f t="shared" si="8"/>
        <v>0</v>
      </c>
      <c r="N26" s="46">
        <f t="shared" si="9"/>
        <v>0</v>
      </c>
      <c r="O26" s="6" t="s">
        <v>549</v>
      </c>
      <c r="P26" s="25" t="s">
        <v>3</v>
      </c>
      <c r="Q26" s="16" t="s">
        <v>340</v>
      </c>
      <c r="R26" s="5">
        <v>13</v>
      </c>
      <c r="S26" s="30">
        <v>1.8571428571428572</v>
      </c>
      <c r="T26" s="6" t="s">
        <v>292</v>
      </c>
      <c r="U26" s="25" t="s">
        <v>3</v>
      </c>
      <c r="V26" s="16" t="s">
        <v>25</v>
      </c>
      <c r="W26" s="5">
        <v>15</v>
      </c>
      <c r="X26" s="30">
        <v>2.1428571428571428</v>
      </c>
      <c r="Y26" s="6" t="s">
        <v>292</v>
      </c>
    </row>
    <row r="27" spans="1:26" s="6" customFormat="1" ht="22.5" customHeight="1" x14ac:dyDescent="0.25">
      <c r="A27" s="12" t="s">
        <v>9</v>
      </c>
      <c r="B27" s="13" t="s">
        <v>370</v>
      </c>
      <c r="C27" s="23">
        <v>16</v>
      </c>
      <c r="D27" s="46">
        <v>2.67</v>
      </c>
      <c r="E27" s="16"/>
      <c r="F27" s="14" t="s">
        <v>9</v>
      </c>
      <c r="G27" s="15" t="s">
        <v>103</v>
      </c>
      <c r="H27" s="23" t="str">
        <f>VLOOKUP(G27,$Q:$S,2,0)</f>
        <v>neu</v>
      </c>
      <c r="I27" s="46" t="str">
        <f>VLOOKUP(G27,$Q:$S,3,0)</f>
        <v>neu</v>
      </c>
      <c r="K27" s="5"/>
      <c r="L27" s="16"/>
      <c r="M27" s="23"/>
      <c r="N27" s="46"/>
      <c r="P27" s="25" t="s">
        <v>4</v>
      </c>
      <c r="Q27" s="127" t="s">
        <v>341</v>
      </c>
      <c r="R27" s="5">
        <v>12</v>
      </c>
      <c r="S27" s="30">
        <v>1.7142857142857142</v>
      </c>
      <c r="T27" s="6" t="s">
        <v>293</v>
      </c>
      <c r="U27" s="25" t="s">
        <v>4</v>
      </c>
      <c r="V27" s="127" t="s">
        <v>267</v>
      </c>
      <c r="W27" s="5">
        <v>12</v>
      </c>
      <c r="X27" s="30">
        <v>1.7142857142857142</v>
      </c>
      <c r="Y27" s="6" t="s">
        <v>293</v>
      </c>
    </row>
    <row r="28" spans="1:26" s="6" customFormat="1" ht="22.5" customHeight="1" x14ac:dyDescent="0.25">
      <c r="A28" s="14" t="s">
        <v>10</v>
      </c>
      <c r="B28" s="15" t="s">
        <v>245</v>
      </c>
      <c r="C28" s="23" t="s">
        <v>199</v>
      </c>
      <c r="D28" s="46" t="s">
        <v>199</v>
      </c>
      <c r="E28" s="16"/>
      <c r="F28" s="5"/>
      <c r="G28" s="16"/>
      <c r="H28" s="23"/>
      <c r="I28" s="46"/>
      <c r="K28" s="5"/>
      <c r="L28" s="16"/>
      <c r="M28" s="23"/>
      <c r="N28" s="46"/>
      <c r="P28" s="25" t="s">
        <v>5</v>
      </c>
      <c r="Q28" s="127" t="s">
        <v>74</v>
      </c>
      <c r="R28" s="5">
        <v>10</v>
      </c>
      <c r="S28" s="30">
        <v>1.4285714285714286</v>
      </c>
      <c r="T28" s="6" t="s">
        <v>293</v>
      </c>
      <c r="U28" s="25" t="s">
        <v>5</v>
      </c>
      <c r="V28" s="127" t="s">
        <v>353</v>
      </c>
      <c r="W28" s="5">
        <v>7</v>
      </c>
      <c r="X28" s="30">
        <v>1</v>
      </c>
      <c r="Y28" s="6" t="s">
        <v>293</v>
      </c>
    </row>
    <row r="29" spans="1:26" s="6" customFormat="1" ht="22.15" customHeight="1" x14ac:dyDescent="0.25">
      <c r="A29" s="5"/>
      <c r="B29" s="16"/>
      <c r="C29" s="23"/>
      <c r="D29" s="46"/>
      <c r="E29" s="16"/>
      <c r="F29" s="5"/>
      <c r="G29" s="16"/>
      <c r="H29" s="23"/>
      <c r="I29" s="46"/>
      <c r="K29" s="5"/>
      <c r="L29" s="16"/>
      <c r="M29" s="23"/>
      <c r="N29" s="46"/>
      <c r="P29" s="25" t="s">
        <v>6</v>
      </c>
      <c r="Q29" s="127" t="s">
        <v>87</v>
      </c>
      <c r="R29" s="5">
        <v>7</v>
      </c>
      <c r="S29" s="30">
        <v>1</v>
      </c>
      <c r="T29" s="6" t="s">
        <v>293</v>
      </c>
      <c r="U29" s="25" t="s">
        <v>6</v>
      </c>
      <c r="V29" s="16" t="s">
        <v>354</v>
      </c>
      <c r="W29" s="5">
        <v>6</v>
      </c>
      <c r="X29" s="30">
        <v>0.8571428571428571</v>
      </c>
      <c r="Y29" s="6" t="s">
        <v>293</v>
      </c>
    </row>
    <row r="30" spans="1:26" s="6" customFormat="1" ht="22.5" customHeight="1" x14ac:dyDescent="0.25">
      <c r="C30" s="23"/>
      <c r="D30" s="46"/>
      <c r="H30" s="23"/>
      <c r="I30" s="46"/>
      <c r="M30" s="5"/>
      <c r="N30" s="29"/>
      <c r="P30" s="25" t="s">
        <v>7</v>
      </c>
      <c r="Q30" s="16" t="s">
        <v>68</v>
      </c>
      <c r="R30" s="5">
        <v>3</v>
      </c>
      <c r="S30" s="30">
        <v>0.42857142857142855</v>
      </c>
      <c r="T30" s="6" t="s">
        <v>293</v>
      </c>
      <c r="U30" s="25" t="s">
        <v>7</v>
      </c>
      <c r="V30" s="16" t="s">
        <v>280</v>
      </c>
      <c r="W30" s="5">
        <v>6</v>
      </c>
      <c r="X30" s="30">
        <v>0.8571428571428571</v>
      </c>
      <c r="Y30" s="6" t="s">
        <v>293</v>
      </c>
    </row>
    <row r="31" spans="1:26" s="6" customFormat="1" ht="22.5" customHeight="1" x14ac:dyDescent="0.25">
      <c r="A31" s="7" t="s">
        <v>0</v>
      </c>
      <c r="B31" s="8" t="s">
        <v>530</v>
      </c>
      <c r="C31" s="23"/>
      <c r="D31" s="46"/>
      <c r="F31" s="7" t="s">
        <v>0</v>
      </c>
      <c r="G31" s="8" t="s">
        <v>116</v>
      </c>
      <c r="H31" s="23"/>
      <c r="I31" s="46"/>
      <c r="K31" s="7" t="s">
        <v>0</v>
      </c>
      <c r="L31" s="8" t="s">
        <v>116</v>
      </c>
      <c r="M31" s="23"/>
      <c r="N31" s="46"/>
      <c r="P31" s="26" t="s">
        <v>8</v>
      </c>
      <c r="Q31" s="33" t="s">
        <v>342</v>
      </c>
      <c r="R31" s="31">
        <v>0</v>
      </c>
      <c r="S31" s="32">
        <v>0</v>
      </c>
      <c r="T31" s="6" t="s">
        <v>293</v>
      </c>
      <c r="U31" s="26" t="s">
        <v>8</v>
      </c>
      <c r="V31" s="33" t="s">
        <v>355</v>
      </c>
      <c r="W31" s="31">
        <v>0</v>
      </c>
      <c r="X31" s="32">
        <v>0</v>
      </c>
      <c r="Y31" s="6" t="s">
        <v>293</v>
      </c>
    </row>
    <row r="32" spans="1:26" s="9" customFormat="1" ht="26.25" customHeight="1" x14ac:dyDescent="0.25">
      <c r="A32" s="198" t="s">
        <v>206</v>
      </c>
      <c r="B32" s="199"/>
      <c r="C32" s="22" t="s">
        <v>168</v>
      </c>
      <c r="D32" s="27" t="s">
        <v>167</v>
      </c>
      <c r="F32" s="205" t="s">
        <v>207</v>
      </c>
      <c r="G32" s="206"/>
      <c r="H32" s="22" t="s">
        <v>168</v>
      </c>
      <c r="I32" s="27" t="s">
        <v>167</v>
      </c>
      <c r="K32" s="205" t="s">
        <v>208</v>
      </c>
      <c r="L32" s="206"/>
      <c r="M32" s="22" t="s">
        <v>168</v>
      </c>
      <c r="N32" s="27" t="s">
        <v>167</v>
      </c>
      <c r="O32" s="6"/>
      <c r="P32" s="6" t="s">
        <v>402</v>
      </c>
      <c r="Q32" s="6" t="s">
        <v>403</v>
      </c>
      <c r="R32" s="5" t="s">
        <v>404</v>
      </c>
      <c r="S32" s="29" t="s">
        <v>405</v>
      </c>
      <c r="T32" s="6"/>
      <c r="U32" s="6"/>
      <c r="V32" s="16"/>
      <c r="W32" s="5"/>
      <c r="X32" s="29"/>
      <c r="Y32" s="6"/>
      <c r="Z32" s="6"/>
    </row>
    <row r="33" spans="1:26" s="6" customFormat="1" ht="22.5" customHeight="1" x14ac:dyDescent="0.25">
      <c r="A33" s="10" t="s">
        <v>1</v>
      </c>
      <c r="B33" s="11" t="s">
        <v>335</v>
      </c>
      <c r="C33" s="23">
        <f t="shared" ref="C33:C41" si="10">VLOOKUP(B33,$Q:$S,2,0)</f>
        <v>0</v>
      </c>
      <c r="D33" s="46">
        <f t="shared" ref="D33:D41" si="11">VLOOKUP(B33,$Q:$S,3,0)</f>
        <v>0</v>
      </c>
      <c r="E33" s="6" t="s">
        <v>542</v>
      </c>
      <c r="F33" s="10" t="s">
        <v>1</v>
      </c>
      <c r="G33" s="11" t="s">
        <v>20</v>
      </c>
      <c r="H33" s="23">
        <f t="shared" ref="H33:H42" si="12">VLOOKUP(G33,$V:$X,2,0)</f>
        <v>13</v>
      </c>
      <c r="I33" s="46">
        <f t="shared" ref="I33:I41" si="13">VLOOKUP(G33,$V:$X,3,0)</f>
        <v>1.8571428571428572</v>
      </c>
      <c r="J33" s="6" t="s">
        <v>545</v>
      </c>
      <c r="K33" s="10" t="s">
        <v>1</v>
      </c>
      <c r="L33" s="11" t="s">
        <v>16</v>
      </c>
      <c r="M33" s="23">
        <f>VLOOKUP(L33,$V:$X,2,0)</f>
        <v>8</v>
      </c>
      <c r="N33" s="46">
        <f>VLOOKUP(L33,$V:$X,3,0)</f>
        <v>1.1428571428571428</v>
      </c>
      <c r="O33" s="6" t="s">
        <v>545</v>
      </c>
      <c r="P33" s="69" t="s">
        <v>1</v>
      </c>
      <c r="Q33" s="128" t="s">
        <v>85</v>
      </c>
      <c r="R33" s="57">
        <v>18</v>
      </c>
      <c r="S33" s="63">
        <v>3</v>
      </c>
      <c r="T33" s="6" t="s">
        <v>293</v>
      </c>
      <c r="U33" s="69" t="s">
        <v>1</v>
      </c>
      <c r="V33" s="64" t="s">
        <v>33</v>
      </c>
      <c r="W33" s="57">
        <v>22</v>
      </c>
      <c r="X33" s="63">
        <v>2.75</v>
      </c>
      <c r="Y33" s="6" t="s">
        <v>292</v>
      </c>
    </row>
    <row r="34" spans="1:26" s="6" customFormat="1" ht="22.5" customHeight="1" x14ac:dyDescent="0.25">
      <c r="A34" s="12" t="s">
        <v>2</v>
      </c>
      <c r="B34" s="13" t="s">
        <v>94</v>
      </c>
      <c r="C34" s="23">
        <f t="shared" si="10"/>
        <v>3</v>
      </c>
      <c r="D34" s="46">
        <f t="shared" si="11"/>
        <v>0.42857142857142855</v>
      </c>
      <c r="E34" s="6" t="s">
        <v>543</v>
      </c>
      <c r="F34" s="12" t="s">
        <v>2</v>
      </c>
      <c r="G34" s="13" t="s">
        <v>343</v>
      </c>
      <c r="H34" s="23">
        <f t="shared" si="12"/>
        <v>12</v>
      </c>
      <c r="I34" s="46">
        <f t="shared" si="13"/>
        <v>1.7142857142857142</v>
      </c>
      <c r="J34" s="6" t="s">
        <v>545</v>
      </c>
      <c r="K34" s="12" t="s">
        <v>2</v>
      </c>
      <c r="L34" s="13" t="s">
        <v>433</v>
      </c>
      <c r="M34" s="23">
        <v>3</v>
      </c>
      <c r="N34" s="46">
        <v>0.42857142857142855</v>
      </c>
      <c r="O34" s="6" t="s">
        <v>545</v>
      </c>
      <c r="P34" s="25" t="s">
        <v>2</v>
      </c>
      <c r="Q34" s="16" t="s">
        <v>71</v>
      </c>
      <c r="R34" s="5">
        <v>13</v>
      </c>
      <c r="S34" s="30">
        <v>2.1666666666666665</v>
      </c>
      <c r="T34" s="6" t="s">
        <v>293</v>
      </c>
      <c r="U34" s="25" t="s">
        <v>2</v>
      </c>
      <c r="V34" s="16" t="s">
        <v>356</v>
      </c>
      <c r="W34" s="5">
        <v>19</v>
      </c>
      <c r="X34" s="30">
        <v>2.375</v>
      </c>
      <c r="Y34" s="9" t="s">
        <v>292</v>
      </c>
    </row>
    <row r="35" spans="1:26" s="6" customFormat="1" ht="22.5" customHeight="1" x14ac:dyDescent="0.25">
      <c r="A35" s="12" t="s">
        <v>3</v>
      </c>
      <c r="B35" s="13" t="s">
        <v>75</v>
      </c>
      <c r="C35" s="23">
        <f t="shared" si="10"/>
        <v>6</v>
      </c>
      <c r="D35" s="46">
        <f t="shared" si="11"/>
        <v>1</v>
      </c>
      <c r="E35" s="6" t="s">
        <v>550</v>
      </c>
      <c r="F35" s="12" t="s">
        <v>3</v>
      </c>
      <c r="G35" s="13" t="s">
        <v>15</v>
      </c>
      <c r="H35" s="23">
        <f t="shared" si="12"/>
        <v>10</v>
      </c>
      <c r="I35" s="46">
        <f t="shared" si="13"/>
        <v>1.4285714285714286</v>
      </c>
      <c r="J35" s="6" t="s">
        <v>546</v>
      </c>
      <c r="K35" s="12" t="s">
        <v>3</v>
      </c>
      <c r="L35" s="13" t="s">
        <v>350</v>
      </c>
      <c r="M35" s="23">
        <f t="shared" ref="M35:M40" si="14">VLOOKUP(L35,$V:$X,2,0)</f>
        <v>0</v>
      </c>
      <c r="N35" s="46">
        <f t="shared" ref="N35:N40" si="15">VLOOKUP(L35,$V:$X,3,0)</f>
        <v>0</v>
      </c>
      <c r="O35" s="6" t="s">
        <v>545</v>
      </c>
      <c r="P35" s="25" t="s">
        <v>3</v>
      </c>
      <c r="Q35" s="16" t="s">
        <v>363</v>
      </c>
      <c r="R35" s="5">
        <v>11</v>
      </c>
      <c r="S35" s="30">
        <v>1.8333333333333333</v>
      </c>
      <c r="T35" s="6" t="s">
        <v>293</v>
      </c>
      <c r="U35" s="25" t="s">
        <v>3</v>
      </c>
      <c r="V35" s="127" t="s">
        <v>357</v>
      </c>
      <c r="W35" s="5">
        <v>16</v>
      </c>
      <c r="X35" s="30">
        <v>2</v>
      </c>
      <c r="Y35" s="6" t="s">
        <v>293</v>
      </c>
    </row>
    <row r="36" spans="1:26" s="6" customFormat="1" ht="22.5" customHeight="1" x14ac:dyDescent="0.25">
      <c r="A36" s="12" t="s">
        <v>4</v>
      </c>
      <c r="B36" s="13" t="s">
        <v>369</v>
      </c>
      <c r="C36" s="23">
        <f t="shared" si="10"/>
        <v>1</v>
      </c>
      <c r="D36" s="46">
        <f t="shared" si="11"/>
        <v>0.16666666666666666</v>
      </c>
      <c r="E36" s="6" t="s">
        <v>550</v>
      </c>
      <c r="F36" s="12" t="s">
        <v>4</v>
      </c>
      <c r="G36" s="13" t="s">
        <v>348</v>
      </c>
      <c r="H36" s="23">
        <f t="shared" si="12"/>
        <v>10</v>
      </c>
      <c r="I36" s="46">
        <f t="shared" si="13"/>
        <v>1.4285714285714286</v>
      </c>
      <c r="J36" s="6" t="s">
        <v>546</v>
      </c>
      <c r="K36" s="12" t="s">
        <v>4</v>
      </c>
      <c r="L36" s="13" t="s">
        <v>190</v>
      </c>
      <c r="M36" s="23">
        <f t="shared" si="14"/>
        <v>18</v>
      </c>
      <c r="N36" s="46">
        <f t="shared" si="15"/>
        <v>3</v>
      </c>
      <c r="O36" s="6" t="s">
        <v>552</v>
      </c>
      <c r="P36" s="25" t="s">
        <v>4</v>
      </c>
      <c r="Q36" s="16" t="s">
        <v>364</v>
      </c>
      <c r="R36" s="5">
        <v>10</v>
      </c>
      <c r="S36" s="30">
        <v>1.6666666666666667</v>
      </c>
      <c r="T36" s="6" t="s">
        <v>293</v>
      </c>
      <c r="U36" s="25" t="s">
        <v>4</v>
      </c>
      <c r="V36" s="127" t="s">
        <v>323</v>
      </c>
      <c r="W36" s="5">
        <v>14</v>
      </c>
      <c r="X36" s="30">
        <v>1.75</v>
      </c>
      <c r="Y36" s="6" t="s">
        <v>293</v>
      </c>
    </row>
    <row r="37" spans="1:26" s="6" customFormat="1" ht="22.5" customHeight="1" x14ac:dyDescent="0.25">
      <c r="A37" s="12" t="s">
        <v>5</v>
      </c>
      <c r="B37" s="13" t="s">
        <v>233</v>
      </c>
      <c r="C37" s="23">
        <f t="shared" si="10"/>
        <v>12</v>
      </c>
      <c r="D37" s="46">
        <f t="shared" si="11"/>
        <v>2</v>
      </c>
      <c r="E37" s="6" t="s">
        <v>551</v>
      </c>
      <c r="F37" s="12" t="s">
        <v>5</v>
      </c>
      <c r="G37" s="13" t="s">
        <v>267</v>
      </c>
      <c r="H37" s="23">
        <f t="shared" si="12"/>
        <v>12</v>
      </c>
      <c r="I37" s="46">
        <f t="shared" si="13"/>
        <v>1.7142857142857142</v>
      </c>
      <c r="J37" s="6" t="s">
        <v>547</v>
      </c>
      <c r="K37" s="12" t="s">
        <v>5</v>
      </c>
      <c r="L37" s="13" t="s">
        <v>13</v>
      </c>
      <c r="M37" s="23">
        <f t="shared" si="14"/>
        <v>13</v>
      </c>
      <c r="N37" s="46">
        <f t="shared" si="15"/>
        <v>2.1666666666666665</v>
      </c>
      <c r="O37" s="6" t="s">
        <v>552</v>
      </c>
      <c r="P37" s="25" t="s">
        <v>5</v>
      </c>
      <c r="Q37" s="142" t="s">
        <v>184</v>
      </c>
      <c r="R37" s="5">
        <v>6</v>
      </c>
      <c r="S37" s="30">
        <v>1</v>
      </c>
      <c r="T37" s="6" t="s">
        <v>293</v>
      </c>
      <c r="U37" s="25" t="s">
        <v>5</v>
      </c>
      <c r="V37" s="127" t="s">
        <v>358</v>
      </c>
      <c r="W37" s="5">
        <v>12</v>
      </c>
      <c r="X37" s="30">
        <v>1.5</v>
      </c>
      <c r="Y37" s="6" t="s">
        <v>293</v>
      </c>
    </row>
    <row r="38" spans="1:26" s="6" customFormat="1" ht="22.5" customHeight="1" x14ac:dyDescent="0.25">
      <c r="A38" s="12" t="s">
        <v>6</v>
      </c>
      <c r="B38" s="13" t="s">
        <v>82</v>
      </c>
      <c r="C38" s="23">
        <f t="shared" si="10"/>
        <v>7</v>
      </c>
      <c r="D38" s="46">
        <f t="shared" si="11"/>
        <v>1.1666666666666667</v>
      </c>
      <c r="E38" s="6" t="s">
        <v>551</v>
      </c>
      <c r="F38" s="12" t="s">
        <v>6</v>
      </c>
      <c r="G38" s="13" t="s">
        <v>353</v>
      </c>
      <c r="H38" s="23">
        <f t="shared" si="12"/>
        <v>7</v>
      </c>
      <c r="I38" s="46">
        <f t="shared" si="13"/>
        <v>1</v>
      </c>
      <c r="J38" s="6" t="s">
        <v>547</v>
      </c>
      <c r="K38" s="12" t="s">
        <v>6</v>
      </c>
      <c r="L38" s="13" t="s">
        <v>374</v>
      </c>
      <c r="M38" s="23">
        <f t="shared" si="14"/>
        <v>10</v>
      </c>
      <c r="N38" s="46">
        <f t="shared" si="15"/>
        <v>1.6666666666666667</v>
      </c>
      <c r="O38" s="6" t="s">
        <v>552</v>
      </c>
      <c r="P38" s="25" t="s">
        <v>6</v>
      </c>
      <c r="Q38" s="16" t="s">
        <v>365</v>
      </c>
      <c r="R38" s="5">
        <v>3</v>
      </c>
      <c r="S38" s="30">
        <v>0.5</v>
      </c>
      <c r="T38" s="6" t="s">
        <v>293</v>
      </c>
      <c r="U38" s="25" t="s">
        <v>6</v>
      </c>
      <c r="V38" s="16" t="s">
        <v>22</v>
      </c>
      <c r="W38" s="5">
        <v>10</v>
      </c>
      <c r="X38" s="30">
        <v>1.25</v>
      </c>
      <c r="Y38" s="6" t="s">
        <v>293</v>
      </c>
    </row>
    <row r="39" spans="1:26" s="6" customFormat="1" ht="22.5" customHeight="1" x14ac:dyDescent="0.25">
      <c r="A39" s="12" t="s">
        <v>7</v>
      </c>
      <c r="B39" s="13" t="s">
        <v>371</v>
      </c>
      <c r="C39" s="23">
        <f t="shared" si="10"/>
        <v>6</v>
      </c>
      <c r="D39" s="46">
        <f t="shared" si="11"/>
        <v>1</v>
      </c>
      <c r="E39" s="6" t="s">
        <v>551</v>
      </c>
      <c r="F39" s="12" t="s">
        <v>7</v>
      </c>
      <c r="G39" s="13" t="s">
        <v>357</v>
      </c>
      <c r="H39" s="23">
        <f t="shared" si="12"/>
        <v>16</v>
      </c>
      <c r="I39" s="46">
        <f t="shared" si="13"/>
        <v>2</v>
      </c>
      <c r="J39" s="6" t="s">
        <v>548</v>
      </c>
      <c r="K39" s="12" t="s">
        <v>7</v>
      </c>
      <c r="L39" s="13" t="s">
        <v>375</v>
      </c>
      <c r="M39" s="23">
        <f t="shared" si="14"/>
        <v>10</v>
      </c>
      <c r="N39" s="46">
        <f t="shared" si="15"/>
        <v>1.6666666666666667</v>
      </c>
      <c r="O39" s="6" t="s">
        <v>552</v>
      </c>
      <c r="P39" s="26" t="s">
        <v>7</v>
      </c>
      <c r="Q39" s="33" t="s">
        <v>366</v>
      </c>
      <c r="R39" s="31">
        <v>0</v>
      </c>
      <c r="S39" s="32">
        <v>0</v>
      </c>
      <c r="T39" s="6" t="s">
        <v>293</v>
      </c>
      <c r="U39" s="25" t="s">
        <v>7</v>
      </c>
      <c r="V39" s="16" t="s">
        <v>359</v>
      </c>
      <c r="W39" s="5">
        <v>6</v>
      </c>
      <c r="X39" s="30">
        <v>0.75</v>
      </c>
      <c r="Y39" s="6" t="s">
        <v>293</v>
      </c>
    </row>
    <row r="40" spans="1:26" s="6" customFormat="1" ht="22.5" customHeight="1" x14ac:dyDescent="0.25">
      <c r="A40" s="12" t="s">
        <v>8</v>
      </c>
      <c r="B40" s="13" t="s">
        <v>372</v>
      </c>
      <c r="C40" s="23">
        <f t="shared" si="10"/>
        <v>4</v>
      </c>
      <c r="D40" s="46">
        <f t="shared" si="11"/>
        <v>0.66666666666666663</v>
      </c>
      <c r="E40" s="6" t="s">
        <v>551</v>
      </c>
      <c r="F40" s="12" t="s">
        <v>8</v>
      </c>
      <c r="G40" s="13" t="s">
        <v>323</v>
      </c>
      <c r="H40" s="23">
        <f t="shared" si="12"/>
        <v>14</v>
      </c>
      <c r="I40" s="46">
        <f t="shared" si="13"/>
        <v>1.75</v>
      </c>
      <c r="J40" s="6" t="s">
        <v>548</v>
      </c>
      <c r="K40" s="12" t="s">
        <v>8</v>
      </c>
      <c r="L40" s="13" t="s">
        <v>378</v>
      </c>
      <c r="M40" s="23">
        <f t="shared" si="14"/>
        <v>0</v>
      </c>
      <c r="N40" s="46">
        <f t="shared" si="15"/>
        <v>0</v>
      </c>
      <c r="O40" s="6" t="s">
        <v>552</v>
      </c>
      <c r="Q40" s="16"/>
      <c r="R40" s="5"/>
      <c r="S40" s="29"/>
      <c r="U40" s="25" t="s">
        <v>8</v>
      </c>
      <c r="V40" s="16" t="s">
        <v>360</v>
      </c>
      <c r="W40" s="5">
        <v>5</v>
      </c>
      <c r="X40" s="30">
        <v>0.625</v>
      </c>
      <c r="Y40" s="6" t="s">
        <v>293</v>
      </c>
    </row>
    <row r="41" spans="1:26" s="6" customFormat="1" ht="22.5" customHeight="1" x14ac:dyDescent="0.25">
      <c r="A41" s="14" t="s">
        <v>9</v>
      </c>
      <c r="B41" s="15" t="s">
        <v>373</v>
      </c>
      <c r="C41" s="23">
        <f t="shared" si="10"/>
        <v>4</v>
      </c>
      <c r="D41" s="46">
        <f t="shared" si="11"/>
        <v>0.66666666666666663</v>
      </c>
      <c r="E41" s="6" t="s">
        <v>551</v>
      </c>
      <c r="F41" s="12" t="s">
        <v>9</v>
      </c>
      <c r="G41" s="13" t="s">
        <v>358</v>
      </c>
      <c r="H41" s="23">
        <f t="shared" si="12"/>
        <v>12</v>
      </c>
      <c r="I41" s="46">
        <f t="shared" si="13"/>
        <v>1.5</v>
      </c>
      <c r="J41" s="6" t="s">
        <v>548</v>
      </c>
      <c r="K41" s="14" t="s">
        <v>9</v>
      </c>
      <c r="L41" s="15" t="s">
        <v>249</v>
      </c>
      <c r="M41" s="23">
        <v>12</v>
      </c>
      <c r="N41" s="46">
        <v>2</v>
      </c>
      <c r="O41" s="6" t="s">
        <v>551</v>
      </c>
      <c r="P41" s="69" t="s">
        <v>1</v>
      </c>
      <c r="Q41" s="64" t="s">
        <v>307</v>
      </c>
      <c r="R41" s="57">
        <v>18</v>
      </c>
      <c r="S41" s="63">
        <v>3</v>
      </c>
      <c r="T41" s="6" t="s">
        <v>293</v>
      </c>
      <c r="U41" s="26" t="s">
        <v>9</v>
      </c>
      <c r="V41" s="33" t="s">
        <v>361</v>
      </c>
      <c r="W41" s="31">
        <v>0</v>
      </c>
      <c r="X41" s="32">
        <v>0</v>
      </c>
      <c r="Y41" s="6" t="s">
        <v>293</v>
      </c>
    </row>
    <row r="42" spans="1:26" s="6" customFormat="1" ht="22.5" customHeight="1" x14ac:dyDescent="0.25">
      <c r="A42" s="5"/>
      <c r="B42" s="16"/>
      <c r="C42" s="23"/>
      <c r="D42" s="46"/>
      <c r="F42" s="14" t="s">
        <v>10</v>
      </c>
      <c r="G42" s="15" t="s">
        <v>22</v>
      </c>
      <c r="H42" s="23">
        <f t="shared" si="12"/>
        <v>10</v>
      </c>
      <c r="I42" s="46">
        <f>VLOOKUP(G42,$V:$X,3,0)</f>
        <v>1.25</v>
      </c>
      <c r="J42" s="6" t="s">
        <v>548</v>
      </c>
      <c r="K42" s="5"/>
      <c r="L42" s="16"/>
      <c r="M42" s="23"/>
      <c r="N42" s="46"/>
      <c r="P42" s="25" t="s">
        <v>2</v>
      </c>
      <c r="Q42" s="142" t="s">
        <v>367</v>
      </c>
      <c r="R42" s="5">
        <v>15</v>
      </c>
      <c r="S42" s="30">
        <v>2.5</v>
      </c>
      <c r="T42" s="6" t="s">
        <v>293</v>
      </c>
      <c r="V42" s="16"/>
      <c r="W42" s="5"/>
      <c r="X42" s="29"/>
    </row>
    <row r="43" spans="1:26" s="6" customFormat="1" ht="22.5" customHeight="1" x14ac:dyDescent="0.25">
      <c r="C43" s="23"/>
      <c r="D43" s="46"/>
      <c r="H43" s="23"/>
      <c r="I43" s="46"/>
      <c r="M43" s="5"/>
      <c r="N43" s="29"/>
      <c r="P43" s="25" t="s">
        <v>3</v>
      </c>
      <c r="Q43" s="16" t="s">
        <v>368</v>
      </c>
      <c r="R43" s="5">
        <v>10</v>
      </c>
      <c r="S43" s="30">
        <v>1.6666666666666667</v>
      </c>
      <c r="T43" s="6" t="s">
        <v>293</v>
      </c>
      <c r="U43" s="69" t="s">
        <v>1</v>
      </c>
      <c r="V43" s="64" t="s">
        <v>190</v>
      </c>
      <c r="W43" s="57">
        <v>18</v>
      </c>
      <c r="X43" s="63">
        <v>3</v>
      </c>
      <c r="Y43" s="6" t="s">
        <v>293</v>
      </c>
    </row>
    <row r="44" spans="1:26" s="6" customFormat="1" ht="22.5" customHeight="1" x14ac:dyDescent="0.25">
      <c r="C44" s="23"/>
      <c r="D44" s="46"/>
      <c r="H44" s="23"/>
      <c r="I44" s="46"/>
      <c r="K44" s="5"/>
      <c r="L44" s="16"/>
      <c r="M44" s="5"/>
      <c r="N44" s="29"/>
      <c r="P44" s="25" t="s">
        <v>4</v>
      </c>
      <c r="Q44" s="16" t="s">
        <v>77</v>
      </c>
      <c r="R44" s="5">
        <v>10</v>
      </c>
      <c r="S44" s="30">
        <v>1.6666666666666667</v>
      </c>
      <c r="T44" s="6" t="s">
        <v>293</v>
      </c>
      <c r="U44" s="25" t="s">
        <v>2</v>
      </c>
      <c r="V44" s="16" t="s">
        <v>13</v>
      </c>
      <c r="W44" s="5">
        <v>13</v>
      </c>
      <c r="X44" s="30">
        <v>2.1666666666666665</v>
      </c>
      <c r="Y44" s="6" t="s">
        <v>293</v>
      </c>
    </row>
    <row r="45" spans="1:26" s="6" customFormat="1" ht="22.5" customHeight="1" x14ac:dyDescent="0.25">
      <c r="A45" s="7" t="s">
        <v>0</v>
      </c>
      <c r="B45" s="8" t="s">
        <v>525</v>
      </c>
      <c r="C45" s="23"/>
      <c r="D45" s="46"/>
      <c r="F45" s="7" t="s">
        <v>0</v>
      </c>
      <c r="G45" s="8" t="s">
        <v>525</v>
      </c>
      <c r="H45" s="5"/>
      <c r="I45" s="29"/>
      <c r="P45" s="25" t="s">
        <v>5</v>
      </c>
      <c r="Q45" s="16" t="s">
        <v>75</v>
      </c>
      <c r="R45" s="5">
        <v>6</v>
      </c>
      <c r="S45" s="30">
        <v>1</v>
      </c>
      <c r="T45" s="6" t="s">
        <v>293</v>
      </c>
      <c r="U45" s="25" t="s">
        <v>3</v>
      </c>
      <c r="V45" s="16" t="s">
        <v>374</v>
      </c>
      <c r="W45" s="5">
        <v>10</v>
      </c>
      <c r="X45" s="30">
        <v>1.6666666666666667</v>
      </c>
      <c r="Y45" s="6" t="s">
        <v>293</v>
      </c>
    </row>
    <row r="46" spans="1:26" s="9" customFormat="1" ht="26.25" customHeight="1" x14ac:dyDescent="0.25">
      <c r="A46" s="198" t="s">
        <v>209</v>
      </c>
      <c r="B46" s="199"/>
      <c r="C46" s="22" t="s">
        <v>168</v>
      </c>
      <c r="D46" s="27" t="s">
        <v>167</v>
      </c>
      <c r="E46" s="21"/>
      <c r="F46" s="205" t="s">
        <v>426</v>
      </c>
      <c r="G46" s="206"/>
      <c r="H46" s="22" t="s">
        <v>168</v>
      </c>
      <c r="I46" s="27" t="s">
        <v>167</v>
      </c>
      <c r="J46" s="6"/>
      <c r="O46" s="6"/>
      <c r="P46" s="25" t="s">
        <v>6</v>
      </c>
      <c r="Q46" s="16" t="s">
        <v>187</v>
      </c>
      <c r="R46" s="5">
        <v>1</v>
      </c>
      <c r="S46" s="30">
        <v>0.16666666666666666</v>
      </c>
      <c r="T46" s="6" t="s">
        <v>293</v>
      </c>
      <c r="U46" s="25" t="s">
        <v>4</v>
      </c>
      <c r="V46" s="16" t="s">
        <v>375</v>
      </c>
      <c r="W46" s="5">
        <v>10</v>
      </c>
      <c r="X46" s="30">
        <v>1.6666666666666667</v>
      </c>
      <c r="Y46" s="6" t="s">
        <v>293</v>
      </c>
      <c r="Z46" s="6"/>
    </row>
    <row r="47" spans="1:26" s="6" customFormat="1" ht="22.5" customHeight="1" x14ac:dyDescent="0.25">
      <c r="A47" s="10" t="s">
        <v>1</v>
      </c>
      <c r="B47" s="11" t="s">
        <v>354</v>
      </c>
      <c r="C47" s="23">
        <f t="shared" ref="C47:C50" si="16">VLOOKUP(B47,$V:$X,2,0)</f>
        <v>6</v>
      </c>
      <c r="D47" s="46">
        <f t="shared" ref="D47:D50" si="17">VLOOKUP(B47,$V:$X,3,0)</f>
        <v>0.8571428571428571</v>
      </c>
      <c r="E47" s="16" t="s">
        <v>547</v>
      </c>
      <c r="F47" s="10" t="s">
        <v>1</v>
      </c>
      <c r="G47" s="11" t="s">
        <v>344</v>
      </c>
      <c r="H47" s="23">
        <f t="shared" ref="H47:H54" si="18">VLOOKUP(G47,$V:$X,2,0)</f>
        <v>7</v>
      </c>
      <c r="I47" s="46">
        <f t="shared" ref="I47:I54" si="19">VLOOKUP(G47,$V:$X,3,0)</f>
        <v>1</v>
      </c>
      <c r="J47" s="6" t="s">
        <v>545</v>
      </c>
      <c r="P47" s="26" t="s">
        <v>7</v>
      </c>
      <c r="Q47" s="33" t="s">
        <v>369</v>
      </c>
      <c r="R47" s="31">
        <v>1</v>
      </c>
      <c r="S47" s="32">
        <v>0.16666666666666666</v>
      </c>
      <c r="T47" s="6" t="s">
        <v>293</v>
      </c>
      <c r="U47" s="25" t="s">
        <v>5</v>
      </c>
      <c r="V47" s="16" t="s">
        <v>376</v>
      </c>
      <c r="W47" s="5">
        <v>5</v>
      </c>
      <c r="X47" s="30">
        <v>0.83333333333333337</v>
      </c>
      <c r="Y47" s="6" t="s">
        <v>293</v>
      </c>
    </row>
    <row r="48" spans="1:26" s="6" customFormat="1" ht="22.5" customHeight="1" x14ac:dyDescent="0.25">
      <c r="A48" s="12" t="s">
        <v>2</v>
      </c>
      <c r="B48" s="13" t="s">
        <v>280</v>
      </c>
      <c r="C48" s="23">
        <f t="shared" si="16"/>
        <v>6</v>
      </c>
      <c r="D48" s="46">
        <f t="shared" si="17"/>
        <v>0.8571428571428571</v>
      </c>
      <c r="E48" s="16" t="s">
        <v>547</v>
      </c>
      <c r="F48" s="12" t="s">
        <v>2</v>
      </c>
      <c r="G48" s="13" t="s">
        <v>248</v>
      </c>
      <c r="H48" s="23">
        <f t="shared" si="18"/>
        <v>7</v>
      </c>
      <c r="I48" s="46">
        <f t="shared" si="19"/>
        <v>1</v>
      </c>
      <c r="J48" s="6" t="s">
        <v>545</v>
      </c>
      <c r="Q48" s="16"/>
      <c r="R48" s="5"/>
      <c r="S48" s="29"/>
      <c r="T48" s="9"/>
      <c r="U48" s="25" t="s">
        <v>6</v>
      </c>
      <c r="V48" s="16" t="s">
        <v>377</v>
      </c>
      <c r="W48" s="5">
        <v>4</v>
      </c>
      <c r="X48" s="30">
        <v>0.66666666666666663</v>
      </c>
      <c r="Y48" s="6" t="s">
        <v>293</v>
      </c>
    </row>
    <row r="49" spans="1:25" s="6" customFormat="1" ht="22.5" customHeight="1" x14ac:dyDescent="0.25">
      <c r="A49" s="12" t="s">
        <v>3</v>
      </c>
      <c r="B49" s="13" t="s">
        <v>355</v>
      </c>
      <c r="C49" s="23">
        <f t="shared" si="16"/>
        <v>0</v>
      </c>
      <c r="D49" s="46">
        <f t="shared" si="17"/>
        <v>0</v>
      </c>
      <c r="E49" s="16" t="s">
        <v>547</v>
      </c>
      <c r="F49" s="12" t="s">
        <v>3</v>
      </c>
      <c r="G49" s="13" t="s">
        <v>345</v>
      </c>
      <c r="H49" s="23">
        <f t="shared" si="18"/>
        <v>3</v>
      </c>
      <c r="I49" s="46">
        <f t="shared" si="19"/>
        <v>0.42857142857142855</v>
      </c>
      <c r="J49" s="6" t="s">
        <v>545</v>
      </c>
      <c r="P49" s="69" t="s">
        <v>1</v>
      </c>
      <c r="Q49" s="128" t="s">
        <v>370</v>
      </c>
      <c r="R49" s="57">
        <v>16</v>
      </c>
      <c r="S49" s="63">
        <v>2.6666666666666665</v>
      </c>
      <c r="T49" s="6" t="s">
        <v>293</v>
      </c>
      <c r="U49" s="26" t="s">
        <v>7</v>
      </c>
      <c r="V49" s="33" t="s">
        <v>378</v>
      </c>
      <c r="W49" s="31">
        <v>0</v>
      </c>
      <c r="X49" s="32">
        <v>0</v>
      </c>
      <c r="Y49" s="6" t="s">
        <v>293</v>
      </c>
    </row>
    <row r="50" spans="1:25" s="6" customFormat="1" ht="22.5" customHeight="1" x14ac:dyDescent="0.25">
      <c r="A50" s="12" t="s">
        <v>4</v>
      </c>
      <c r="B50" s="13" t="s">
        <v>377</v>
      </c>
      <c r="C50" s="23">
        <f t="shared" si="16"/>
        <v>4</v>
      </c>
      <c r="D50" s="46">
        <f t="shared" si="17"/>
        <v>0.66666666666666663</v>
      </c>
      <c r="E50" s="16" t="s">
        <v>552</v>
      </c>
      <c r="F50" s="12" t="s">
        <v>4</v>
      </c>
      <c r="G50" s="13" t="s">
        <v>346</v>
      </c>
      <c r="H50" s="23">
        <f t="shared" si="18"/>
        <v>1</v>
      </c>
      <c r="I50" s="46">
        <f t="shared" si="19"/>
        <v>0.14285714285714285</v>
      </c>
      <c r="J50" s="6" t="s">
        <v>545</v>
      </c>
      <c r="P50" s="25" t="s">
        <v>2</v>
      </c>
      <c r="Q50" s="16" t="s">
        <v>249</v>
      </c>
      <c r="R50" s="5">
        <v>12</v>
      </c>
      <c r="S50" s="30">
        <v>2</v>
      </c>
      <c r="V50" s="16"/>
      <c r="W50" s="5"/>
      <c r="X50" s="29"/>
    </row>
    <row r="51" spans="1:25" s="6" customFormat="1" ht="22.5" customHeight="1" x14ac:dyDescent="0.25">
      <c r="A51" s="12" t="s">
        <v>5</v>
      </c>
      <c r="B51" s="13" t="s">
        <v>434</v>
      </c>
      <c r="C51" s="23">
        <v>13</v>
      </c>
      <c r="D51" s="46">
        <v>2.6</v>
      </c>
      <c r="E51" s="16" t="s">
        <v>553</v>
      </c>
      <c r="F51" s="12" t="s">
        <v>5</v>
      </c>
      <c r="G51" s="13" t="s">
        <v>359</v>
      </c>
      <c r="H51" s="23">
        <f t="shared" si="18"/>
        <v>6</v>
      </c>
      <c r="I51" s="46">
        <f t="shared" si="19"/>
        <v>0.75</v>
      </c>
      <c r="J51" s="6" t="s">
        <v>548</v>
      </c>
      <c r="P51" s="25" t="s">
        <v>3</v>
      </c>
      <c r="Q51" s="16" t="s">
        <v>233</v>
      </c>
      <c r="R51" s="5">
        <v>12</v>
      </c>
      <c r="S51" s="30">
        <v>2</v>
      </c>
      <c r="T51" s="6" t="s">
        <v>293</v>
      </c>
      <c r="U51" s="69" t="s">
        <v>1</v>
      </c>
      <c r="V51" s="146" t="s">
        <v>379</v>
      </c>
      <c r="W51" s="57">
        <v>13</v>
      </c>
      <c r="X51" s="63">
        <v>2.6</v>
      </c>
      <c r="Y51" s="6" t="s">
        <v>293</v>
      </c>
    </row>
    <row r="52" spans="1:25" s="6" customFormat="1" ht="22.5" customHeight="1" x14ac:dyDescent="0.25">
      <c r="A52" s="12" t="s">
        <v>6</v>
      </c>
      <c r="B52" s="13" t="s">
        <v>380</v>
      </c>
      <c r="C52" s="23">
        <f>VLOOKUP(B52,$V:$X,2,0)</f>
        <v>12</v>
      </c>
      <c r="D52" s="46">
        <f>VLOOKUP(B52,$V:$X,3,0)</f>
        <v>2.4</v>
      </c>
      <c r="E52" s="16" t="s">
        <v>553</v>
      </c>
      <c r="F52" s="12" t="s">
        <v>6</v>
      </c>
      <c r="G52" s="13" t="s">
        <v>360</v>
      </c>
      <c r="H52" s="23">
        <f t="shared" si="18"/>
        <v>5</v>
      </c>
      <c r="I52" s="46">
        <f t="shared" si="19"/>
        <v>0.625</v>
      </c>
      <c r="J52" s="6" t="s">
        <v>548</v>
      </c>
      <c r="P52" s="25" t="s">
        <v>4</v>
      </c>
      <c r="Q52" s="16" t="s">
        <v>82</v>
      </c>
      <c r="R52" s="5">
        <v>7</v>
      </c>
      <c r="S52" s="30">
        <v>1.1666666666666667</v>
      </c>
      <c r="T52" s="6" t="s">
        <v>293</v>
      </c>
      <c r="U52" s="25" t="s">
        <v>2</v>
      </c>
      <c r="V52" s="16" t="s">
        <v>380</v>
      </c>
      <c r="W52" s="5">
        <v>12</v>
      </c>
      <c r="X52" s="30">
        <v>2.4</v>
      </c>
      <c r="Y52" s="6" t="s">
        <v>293</v>
      </c>
    </row>
    <row r="53" spans="1:25" s="6" customFormat="1" ht="22.5" customHeight="1" x14ac:dyDescent="0.25">
      <c r="A53" s="12" t="s">
        <v>7</v>
      </c>
      <c r="B53" s="13" t="s">
        <v>382</v>
      </c>
      <c r="C53" s="23">
        <f>VLOOKUP(B53,$V:$X,2,0)</f>
        <v>6</v>
      </c>
      <c r="D53" s="46">
        <f>VLOOKUP(B53,$V:$X,3,0)</f>
        <v>1.2</v>
      </c>
      <c r="E53" s="16" t="s">
        <v>553</v>
      </c>
      <c r="F53" s="12" t="s">
        <v>7</v>
      </c>
      <c r="G53" s="13" t="s">
        <v>361</v>
      </c>
      <c r="H53" s="23">
        <f t="shared" si="18"/>
        <v>0</v>
      </c>
      <c r="I53" s="46">
        <f t="shared" si="19"/>
        <v>0</v>
      </c>
      <c r="J53" s="6" t="s">
        <v>548</v>
      </c>
      <c r="P53" s="25" t="s">
        <v>5</v>
      </c>
      <c r="Q53" s="16" t="s">
        <v>371</v>
      </c>
      <c r="R53" s="5">
        <v>6</v>
      </c>
      <c r="S53" s="30">
        <v>1</v>
      </c>
      <c r="T53" s="6" t="s">
        <v>293</v>
      </c>
      <c r="U53" s="25" t="s">
        <v>3</v>
      </c>
      <c r="V53" s="142" t="s">
        <v>381</v>
      </c>
      <c r="W53" s="5">
        <v>6</v>
      </c>
      <c r="X53" s="30">
        <v>1.2</v>
      </c>
      <c r="Y53" s="6" t="s">
        <v>293</v>
      </c>
    </row>
    <row r="54" spans="1:25" s="6" customFormat="1" ht="22.5" customHeight="1" x14ac:dyDescent="0.25">
      <c r="A54" s="12" t="s">
        <v>8</v>
      </c>
      <c r="B54" s="13" t="s">
        <v>192</v>
      </c>
      <c r="C54" s="23">
        <f>VLOOKUP(B54,$V:$X,2,0)</f>
        <v>2</v>
      </c>
      <c r="D54" s="46">
        <f>VLOOKUP(B54,$V:$X,3,0)</f>
        <v>0.4</v>
      </c>
      <c r="E54" s="16" t="s">
        <v>553</v>
      </c>
      <c r="F54" s="12" t="s">
        <v>8</v>
      </c>
      <c r="G54" s="13" t="s">
        <v>376</v>
      </c>
      <c r="H54" s="23">
        <f t="shared" si="18"/>
        <v>5</v>
      </c>
      <c r="I54" s="46">
        <f t="shared" si="19"/>
        <v>0.83333333333333337</v>
      </c>
      <c r="J54" s="6" t="s">
        <v>552</v>
      </c>
      <c r="P54" s="25" t="s">
        <v>6</v>
      </c>
      <c r="Q54" s="16" t="s">
        <v>372</v>
      </c>
      <c r="R54" s="5">
        <v>4</v>
      </c>
      <c r="S54" s="30">
        <v>0.66666666666666663</v>
      </c>
      <c r="T54" s="6" t="s">
        <v>293</v>
      </c>
      <c r="U54" s="25" t="s">
        <v>4</v>
      </c>
      <c r="V54" s="16" t="s">
        <v>382</v>
      </c>
      <c r="W54" s="5">
        <v>6</v>
      </c>
      <c r="X54" s="30">
        <v>1.2</v>
      </c>
      <c r="Y54" s="6" t="s">
        <v>293</v>
      </c>
    </row>
    <row r="55" spans="1:25" s="6" customFormat="1" ht="22.5" customHeight="1" x14ac:dyDescent="0.25">
      <c r="A55" s="14" t="s">
        <v>9</v>
      </c>
      <c r="B55" s="15" t="s">
        <v>431</v>
      </c>
      <c r="C55" s="23" t="str">
        <f>VLOOKUP(B55,$V:$X,2,0)</f>
        <v>neu</v>
      </c>
      <c r="D55" s="46" t="str">
        <f>VLOOKUP(B55,$V:$X,3,0)</f>
        <v>neu</v>
      </c>
      <c r="E55" s="16"/>
      <c r="F55" s="14" t="s">
        <v>9</v>
      </c>
      <c r="G55" s="15" t="s">
        <v>432</v>
      </c>
      <c r="H55" s="23">
        <v>6</v>
      </c>
      <c r="I55" s="46">
        <v>1.2</v>
      </c>
      <c r="J55" s="16" t="s">
        <v>553</v>
      </c>
      <c r="P55" s="26" t="s">
        <v>7</v>
      </c>
      <c r="Q55" s="33" t="s">
        <v>373</v>
      </c>
      <c r="R55" s="31">
        <v>4</v>
      </c>
      <c r="S55" s="32">
        <v>0.66666666666666663</v>
      </c>
      <c r="T55" s="6" t="s">
        <v>293</v>
      </c>
      <c r="U55" s="129" t="s">
        <v>5</v>
      </c>
      <c r="V55" s="130" t="s">
        <v>383</v>
      </c>
      <c r="W55" s="149">
        <v>4</v>
      </c>
      <c r="X55" s="150">
        <v>0.8</v>
      </c>
    </row>
    <row r="56" spans="1:25" s="6" customFormat="1" ht="22.5" customHeight="1" x14ac:dyDescent="0.25">
      <c r="A56" s="12"/>
      <c r="C56" s="23"/>
      <c r="D56" s="46"/>
      <c r="H56" s="23"/>
      <c r="I56" s="46"/>
      <c r="K56" s="5"/>
      <c r="L56" s="16"/>
      <c r="M56" s="40"/>
      <c r="N56" s="41"/>
      <c r="Q56" s="16"/>
      <c r="R56" s="5"/>
      <c r="S56" s="29"/>
      <c r="U56" s="26" t="s">
        <v>6</v>
      </c>
      <c r="V56" s="33" t="s">
        <v>192</v>
      </c>
      <c r="W56" s="31">
        <v>2</v>
      </c>
      <c r="X56" s="32">
        <v>0.4</v>
      </c>
      <c r="Y56" s="6" t="s">
        <v>293</v>
      </c>
    </row>
    <row r="57" spans="1:25" s="6" customFormat="1" ht="22.5" customHeight="1" x14ac:dyDescent="0.25">
      <c r="C57" s="23"/>
      <c r="D57" s="46"/>
      <c r="H57" s="23"/>
      <c r="I57" s="46"/>
      <c r="K57" s="5"/>
      <c r="L57" s="16"/>
      <c r="M57" s="40"/>
      <c r="N57" s="41"/>
      <c r="Q57" s="16" t="s">
        <v>103</v>
      </c>
      <c r="R57" s="5" t="s">
        <v>199</v>
      </c>
      <c r="S57" s="29" t="s">
        <v>199</v>
      </c>
      <c r="T57" s="6" t="s">
        <v>293</v>
      </c>
      <c r="V57" s="16"/>
      <c r="W57" s="5"/>
      <c r="X57" s="29"/>
    </row>
    <row r="58" spans="1:25" s="6" customFormat="1" ht="22.5" customHeight="1" x14ac:dyDescent="0.25">
      <c r="C58" s="23"/>
      <c r="D58" s="46"/>
      <c r="H58" s="23"/>
      <c r="I58" s="46"/>
      <c r="K58" s="5"/>
      <c r="L58" s="16"/>
      <c r="M58" s="5"/>
      <c r="N58" s="29"/>
      <c r="Q58" s="127" t="s">
        <v>245</v>
      </c>
      <c r="R58" s="5" t="s">
        <v>199</v>
      </c>
      <c r="S58" s="29" t="s">
        <v>199</v>
      </c>
      <c r="T58" s="6" t="s">
        <v>293</v>
      </c>
      <c r="V58" s="16" t="s">
        <v>431</v>
      </c>
      <c r="W58" s="5" t="s">
        <v>199</v>
      </c>
      <c r="X58" s="29" t="s">
        <v>199</v>
      </c>
      <c r="Y58" s="6" t="s">
        <v>293</v>
      </c>
    </row>
    <row r="59" spans="1:25" s="6" customFormat="1" ht="22.5" customHeight="1" x14ac:dyDescent="0.25">
      <c r="C59" s="23"/>
      <c r="D59" s="46"/>
      <c r="H59" s="23"/>
      <c r="I59" s="46"/>
      <c r="K59" s="5"/>
      <c r="L59" s="16"/>
      <c r="M59" s="5"/>
      <c r="N59" s="29"/>
      <c r="Q59" s="16"/>
      <c r="R59" s="5"/>
      <c r="S59" s="29"/>
      <c r="V59" s="16" t="s">
        <v>249</v>
      </c>
      <c r="W59" s="5">
        <v>12</v>
      </c>
      <c r="X59" s="30">
        <v>2</v>
      </c>
      <c r="Y59" s="6" t="s">
        <v>293</v>
      </c>
    </row>
    <row r="60" spans="1:25" s="9" customFormat="1" ht="26.25" customHeight="1" x14ac:dyDescent="0.25">
      <c r="A60" s="6"/>
      <c r="B60" s="6"/>
      <c r="C60" s="23"/>
      <c r="D60" s="46"/>
      <c r="E60" s="6"/>
      <c r="F60" s="6"/>
      <c r="G60" s="6"/>
      <c r="H60" s="23"/>
      <c r="I60" s="46"/>
      <c r="J60" s="6"/>
      <c r="K60" s="5"/>
      <c r="L60" s="16"/>
      <c r="M60" s="7"/>
      <c r="N60" s="39"/>
      <c r="Q60" s="16"/>
      <c r="R60" s="5"/>
      <c r="S60" s="29"/>
      <c r="T60" s="6"/>
      <c r="U60" s="6"/>
      <c r="V60" s="16"/>
      <c r="W60" s="5"/>
      <c r="X60" s="29"/>
      <c r="Y60" s="6"/>
    </row>
    <row r="61" spans="1:25" s="6" customFormat="1" ht="22.5" customHeight="1" x14ac:dyDescent="0.25">
      <c r="C61" s="23"/>
      <c r="D61" s="46"/>
      <c r="H61" s="23"/>
      <c r="I61" s="46"/>
      <c r="K61" s="5"/>
      <c r="L61" s="16"/>
      <c r="M61" s="42"/>
      <c r="N61" s="43"/>
      <c r="Q61" s="16"/>
      <c r="R61" s="5"/>
      <c r="S61" s="29"/>
      <c r="V61" s="16"/>
      <c r="W61" s="5"/>
      <c r="X61" s="29"/>
    </row>
    <row r="62" spans="1:25" s="6" customFormat="1" ht="22.5" customHeight="1" x14ac:dyDescent="0.25">
      <c r="C62" s="23"/>
      <c r="D62" s="46"/>
      <c r="H62" s="23"/>
      <c r="I62" s="46"/>
      <c r="K62" s="5"/>
      <c r="L62" s="16"/>
      <c r="M62" s="40"/>
      <c r="N62" s="41"/>
      <c r="Q62" s="16"/>
      <c r="R62" s="5"/>
      <c r="S62" s="29"/>
      <c r="T62" s="9"/>
      <c r="V62" s="16"/>
      <c r="W62" s="5"/>
      <c r="X62" s="29"/>
      <c r="Y62" s="9"/>
    </row>
    <row r="63" spans="1:25" s="6" customFormat="1" ht="22.5" customHeight="1" x14ac:dyDescent="0.25">
      <c r="C63" s="23"/>
      <c r="D63" s="46"/>
      <c r="H63" s="23"/>
      <c r="I63" s="46"/>
      <c r="K63" s="5"/>
      <c r="L63" s="16"/>
      <c r="M63" s="40"/>
      <c r="N63" s="41"/>
      <c r="Q63" s="16"/>
      <c r="R63" s="5"/>
      <c r="S63" s="29"/>
      <c r="V63" s="16"/>
      <c r="W63" s="5"/>
      <c r="X63" s="29"/>
    </row>
    <row r="64" spans="1:25" s="6" customFormat="1" ht="22.5" customHeight="1" x14ac:dyDescent="0.25">
      <c r="C64" s="23"/>
      <c r="D64" s="46"/>
      <c r="H64" s="23"/>
      <c r="I64" s="46"/>
      <c r="K64" s="5"/>
      <c r="L64" s="16"/>
      <c r="M64" s="40"/>
      <c r="N64" s="41"/>
      <c r="Q64" s="16"/>
      <c r="R64" s="5"/>
      <c r="S64" s="29"/>
      <c r="V64" s="16"/>
      <c r="W64" s="5"/>
      <c r="X64" s="29"/>
    </row>
    <row r="65" spans="1:25" s="6" customFormat="1" ht="22.5" customHeight="1" x14ac:dyDescent="0.25">
      <c r="C65" s="23"/>
      <c r="D65" s="46"/>
      <c r="H65" s="23"/>
      <c r="I65" s="46"/>
      <c r="K65" s="5"/>
      <c r="L65" s="16"/>
      <c r="M65" s="40"/>
      <c r="N65" s="41"/>
      <c r="Q65" s="16"/>
      <c r="R65" s="5"/>
      <c r="S65" s="29"/>
      <c r="V65" s="16"/>
      <c r="W65" s="5"/>
      <c r="X65" s="29"/>
    </row>
    <row r="66" spans="1:25" s="6" customFormat="1" ht="22.5" customHeight="1" x14ac:dyDescent="0.25">
      <c r="C66" s="23"/>
      <c r="D66" s="46"/>
      <c r="H66" s="23"/>
      <c r="I66" s="46"/>
      <c r="K66" s="5"/>
      <c r="L66" s="16"/>
      <c r="M66" s="40"/>
      <c r="N66" s="41"/>
      <c r="Q66" s="16"/>
      <c r="R66" s="5"/>
      <c r="S66" s="29"/>
      <c r="V66" s="16"/>
      <c r="W66" s="5"/>
      <c r="X66" s="29"/>
    </row>
    <row r="67" spans="1:25" s="6" customFormat="1" ht="22.5" customHeight="1" x14ac:dyDescent="0.25">
      <c r="C67" s="23"/>
      <c r="D67" s="46"/>
      <c r="H67" s="23"/>
      <c r="I67" s="46"/>
      <c r="K67" s="5"/>
      <c r="L67" s="16"/>
      <c r="M67" s="40"/>
      <c r="N67" s="41"/>
      <c r="Q67" s="16"/>
      <c r="R67" s="5"/>
      <c r="S67" s="29"/>
      <c r="V67" s="16"/>
      <c r="W67" s="5"/>
      <c r="X67" s="29"/>
    </row>
    <row r="68" spans="1:25" s="6" customFormat="1" ht="22.5" customHeight="1" x14ac:dyDescent="0.25">
      <c r="C68" s="23"/>
      <c r="D68" s="46"/>
      <c r="H68" s="23"/>
      <c r="I68" s="46"/>
      <c r="K68" s="5"/>
      <c r="L68" s="16"/>
      <c r="M68" s="40"/>
      <c r="N68" s="41"/>
      <c r="Q68" s="16"/>
      <c r="R68" s="5"/>
      <c r="S68" s="29"/>
      <c r="V68" s="16"/>
      <c r="W68" s="5"/>
      <c r="X68" s="29"/>
    </row>
    <row r="69" spans="1:25" s="6" customFormat="1" ht="22.5" customHeight="1" x14ac:dyDescent="0.3">
      <c r="C69" s="23"/>
      <c r="D69" s="46"/>
      <c r="H69" s="23"/>
      <c r="I69" s="46"/>
      <c r="K69" s="5"/>
      <c r="L69" s="16"/>
      <c r="M69" s="19"/>
      <c r="N69" s="28"/>
      <c r="Q69" s="16"/>
      <c r="R69" s="5"/>
      <c r="S69" s="29"/>
      <c r="V69" s="16"/>
      <c r="W69" s="5"/>
      <c r="X69" s="29"/>
    </row>
    <row r="70" spans="1:25" s="6" customFormat="1" ht="22.5" customHeight="1" x14ac:dyDescent="0.3">
      <c r="C70" s="23"/>
      <c r="D70" s="46"/>
      <c r="H70" s="23"/>
      <c r="I70" s="46"/>
      <c r="K70" s="5"/>
      <c r="L70" s="16"/>
      <c r="M70" s="19"/>
      <c r="N70" s="28"/>
      <c r="Q70" s="16"/>
      <c r="R70" s="5"/>
      <c r="S70" s="29"/>
      <c r="V70" s="16"/>
      <c r="W70" s="5"/>
      <c r="X70" s="29"/>
    </row>
    <row r="71" spans="1:25" s="6" customFormat="1" ht="22.5" customHeight="1" x14ac:dyDescent="0.3">
      <c r="C71" s="23"/>
      <c r="D71" s="46"/>
      <c r="H71" s="23"/>
      <c r="I71" s="46"/>
      <c r="K71" s="5"/>
      <c r="L71" s="16"/>
      <c r="M71" s="19"/>
      <c r="N71" s="28"/>
      <c r="Q71" s="16"/>
      <c r="R71" s="5"/>
      <c r="S71" s="29"/>
      <c r="V71" s="16"/>
      <c r="W71" s="5"/>
      <c r="X71" s="29"/>
    </row>
    <row r="72" spans="1:25" s="6" customFormat="1" ht="22.5" customHeight="1" x14ac:dyDescent="0.3">
      <c r="C72" s="23"/>
      <c r="D72" s="46"/>
      <c r="H72" s="23"/>
      <c r="I72" s="46"/>
      <c r="K72" s="5"/>
      <c r="L72" s="16"/>
      <c r="M72" s="19"/>
      <c r="N72" s="28"/>
      <c r="Q72" s="16"/>
      <c r="R72" s="5"/>
      <c r="S72" s="29"/>
      <c r="V72" s="16"/>
      <c r="W72" s="5"/>
      <c r="X72" s="29"/>
    </row>
    <row r="73" spans="1:25" s="6" customFormat="1" ht="22.5" customHeight="1" x14ac:dyDescent="0.3">
      <c r="C73" s="23"/>
      <c r="D73" s="46"/>
      <c r="H73" s="23"/>
      <c r="I73" s="46"/>
      <c r="K73" s="5"/>
      <c r="L73" s="16"/>
      <c r="M73" s="19"/>
      <c r="N73" s="28"/>
      <c r="Q73" s="16"/>
      <c r="R73" s="5"/>
      <c r="S73" s="29"/>
      <c r="U73" s="66"/>
      <c r="V73" s="126"/>
      <c r="W73" s="67"/>
      <c r="X73" s="68"/>
    </row>
    <row r="74" spans="1:25" s="9" customFormat="1" ht="26.25" customHeight="1" x14ac:dyDescent="0.3">
      <c r="A74" s="6"/>
      <c r="B74" s="6"/>
      <c r="C74" s="23"/>
      <c r="D74" s="46"/>
      <c r="E74" s="6"/>
      <c r="F74" s="6"/>
      <c r="G74" s="6"/>
      <c r="H74" s="23"/>
      <c r="I74" s="46"/>
      <c r="J74" s="6"/>
      <c r="K74" s="5"/>
      <c r="L74" s="16"/>
      <c r="M74" s="19"/>
      <c r="N74" s="28"/>
      <c r="Q74" s="16"/>
      <c r="R74" s="5"/>
      <c r="S74" s="29"/>
      <c r="T74" s="6"/>
      <c r="U74" s="66"/>
      <c r="V74" s="126"/>
      <c r="W74" s="67"/>
      <c r="X74" s="68"/>
      <c r="Y74" s="6"/>
    </row>
    <row r="75" spans="1:25" s="6" customFormat="1" ht="22.5" customHeight="1" x14ac:dyDescent="0.3">
      <c r="C75" s="23"/>
      <c r="D75" s="46"/>
      <c r="H75" s="23"/>
      <c r="I75" s="46"/>
      <c r="K75" s="5"/>
      <c r="L75" s="16"/>
      <c r="M75" s="19"/>
      <c r="N75" s="28"/>
      <c r="Q75" s="16"/>
      <c r="R75" s="5"/>
      <c r="S75" s="29"/>
      <c r="U75" s="66"/>
      <c r="V75" s="126"/>
      <c r="W75" s="67"/>
      <c r="X75" s="68"/>
    </row>
    <row r="76" spans="1:25" s="6" customFormat="1" ht="22.5" customHeight="1" x14ac:dyDescent="0.3">
      <c r="C76" s="23"/>
      <c r="D76" s="46"/>
      <c r="H76" s="23"/>
      <c r="I76" s="46"/>
      <c r="K76" s="5"/>
      <c r="L76" s="16"/>
      <c r="M76" s="19"/>
      <c r="N76" s="28"/>
      <c r="Q76" s="16"/>
      <c r="R76" s="5"/>
      <c r="S76" s="29"/>
      <c r="T76" s="9"/>
      <c r="U76" s="66"/>
      <c r="V76" s="126"/>
      <c r="W76" s="67"/>
      <c r="X76" s="68"/>
      <c r="Y76" s="9"/>
    </row>
    <row r="77" spans="1:25" s="6" customFormat="1" ht="22.5" customHeight="1" x14ac:dyDescent="0.3">
      <c r="C77" s="23"/>
      <c r="D77" s="46"/>
      <c r="H77" s="23"/>
      <c r="I77" s="46"/>
      <c r="K77" s="5"/>
      <c r="L77" s="16"/>
      <c r="M77" s="19"/>
      <c r="N77" s="28"/>
      <c r="Q77" s="16"/>
      <c r="R77" s="5"/>
      <c r="S77" s="29"/>
      <c r="U77" s="66"/>
      <c r="V77" s="126"/>
      <c r="W77" s="67"/>
      <c r="X77" s="68"/>
    </row>
    <row r="78" spans="1:25" s="6" customFormat="1" ht="22.5" customHeight="1" x14ac:dyDescent="0.3">
      <c r="C78" s="23"/>
      <c r="D78" s="46"/>
      <c r="H78" s="23"/>
      <c r="I78" s="46"/>
      <c r="K78" s="5"/>
      <c r="L78" s="16"/>
      <c r="M78" s="19"/>
      <c r="N78" s="28"/>
      <c r="Q78" s="16"/>
      <c r="R78" s="5"/>
      <c r="S78" s="29"/>
      <c r="U78" s="66"/>
      <c r="V78" s="126"/>
      <c r="W78" s="67"/>
      <c r="X78" s="68"/>
    </row>
    <row r="79" spans="1:25" s="6" customFormat="1" ht="22.5" customHeight="1" x14ac:dyDescent="0.3">
      <c r="C79" s="23"/>
      <c r="D79" s="46"/>
      <c r="H79" s="23"/>
      <c r="I79" s="46"/>
      <c r="K79" s="5"/>
      <c r="L79" s="16"/>
      <c r="M79" s="19"/>
      <c r="N79" s="28"/>
      <c r="Q79" s="16"/>
      <c r="R79" s="5"/>
      <c r="S79" s="29"/>
      <c r="U79" s="66"/>
      <c r="V79" s="126"/>
      <c r="W79" s="67"/>
      <c r="X79" s="68"/>
    </row>
    <row r="80" spans="1:25" s="6" customFormat="1" ht="22.5" customHeight="1" x14ac:dyDescent="0.3">
      <c r="C80" s="23"/>
      <c r="D80" s="46"/>
      <c r="H80" s="23"/>
      <c r="I80" s="46"/>
      <c r="K80" s="5"/>
      <c r="L80" s="16"/>
      <c r="M80" s="19"/>
      <c r="N80" s="28"/>
      <c r="Q80" s="16"/>
      <c r="R80" s="5"/>
      <c r="S80" s="29"/>
      <c r="U80" s="66"/>
      <c r="V80" s="126"/>
      <c r="W80" s="67"/>
      <c r="X80" s="68"/>
    </row>
    <row r="81" spans="1:25" s="6" customFormat="1" ht="22.5" customHeight="1" x14ac:dyDescent="0.3">
      <c r="C81" s="23"/>
      <c r="D81" s="46"/>
      <c r="H81" s="23"/>
      <c r="I81" s="46"/>
      <c r="K81" s="5"/>
      <c r="L81" s="16"/>
      <c r="M81" s="19"/>
      <c r="N81" s="28"/>
      <c r="Q81" s="16"/>
      <c r="R81" s="5"/>
      <c r="S81" s="29"/>
      <c r="U81" s="66"/>
      <c r="V81" s="126"/>
      <c r="W81" s="67"/>
      <c r="X81" s="68"/>
    </row>
    <row r="82" spans="1:25" x14ac:dyDescent="0.3">
      <c r="A82" s="6"/>
      <c r="B82" s="6"/>
      <c r="C82" s="23"/>
      <c r="D82" s="46"/>
      <c r="E82" s="6"/>
      <c r="F82" s="6"/>
      <c r="G82" s="6"/>
      <c r="H82" s="23"/>
      <c r="I82" s="46"/>
      <c r="J82" s="6"/>
      <c r="K82" s="5"/>
      <c r="L82" s="16"/>
      <c r="Q82" s="16"/>
      <c r="T82" s="6"/>
      <c r="Y82" s="6"/>
    </row>
    <row r="83" spans="1:25" x14ac:dyDescent="0.3">
      <c r="A83" s="6"/>
      <c r="B83" s="6"/>
      <c r="C83" s="23"/>
      <c r="D83" s="46"/>
      <c r="E83" s="6"/>
      <c r="F83" s="6"/>
      <c r="G83" s="6"/>
      <c r="H83" s="23"/>
      <c r="I83" s="46"/>
      <c r="J83" s="6"/>
      <c r="K83" s="5"/>
      <c r="L83" s="16"/>
      <c r="Q83" s="16"/>
      <c r="T83" s="6"/>
      <c r="Y83" s="6"/>
    </row>
    <row r="84" spans="1:25" x14ac:dyDescent="0.3">
      <c r="A84" s="6"/>
      <c r="B84" s="6"/>
      <c r="C84" s="23"/>
      <c r="D84" s="46"/>
      <c r="E84" s="6"/>
      <c r="F84" s="6"/>
      <c r="G84" s="6"/>
      <c r="H84" s="23"/>
      <c r="I84" s="46"/>
      <c r="J84" s="6"/>
      <c r="K84" s="5"/>
      <c r="L84" s="16"/>
      <c r="Q84" s="16"/>
    </row>
    <row r="85" spans="1:25" x14ac:dyDescent="0.3">
      <c r="A85" s="6"/>
      <c r="B85" s="6"/>
      <c r="C85" s="23"/>
      <c r="D85" s="46"/>
      <c r="E85" s="6"/>
      <c r="F85" s="6"/>
      <c r="G85" s="6"/>
      <c r="H85" s="23"/>
      <c r="I85" s="46"/>
      <c r="J85" s="6"/>
      <c r="K85" s="5"/>
      <c r="L85" s="16"/>
      <c r="Q85" s="16"/>
    </row>
    <row r="86" spans="1:25" x14ac:dyDescent="0.3">
      <c r="A86" s="6"/>
      <c r="B86" s="6"/>
      <c r="C86" s="23"/>
      <c r="D86" s="46"/>
      <c r="E86" s="6"/>
      <c r="F86" s="6"/>
      <c r="G86" s="6"/>
      <c r="H86" s="23"/>
      <c r="I86" s="46"/>
      <c r="J86" s="6"/>
      <c r="K86" s="5"/>
      <c r="L86" s="16"/>
      <c r="Q86" s="16"/>
    </row>
    <row r="87" spans="1:25" x14ac:dyDescent="0.3">
      <c r="A87" s="6"/>
      <c r="B87" s="6"/>
      <c r="C87" s="23"/>
      <c r="D87" s="46"/>
      <c r="E87" s="6"/>
      <c r="F87" s="6"/>
      <c r="G87" s="6"/>
      <c r="H87" s="23"/>
      <c r="I87" s="46"/>
      <c r="J87" s="6"/>
      <c r="K87" s="5"/>
      <c r="L87" s="16"/>
      <c r="Q87" s="16"/>
    </row>
    <row r="88" spans="1:25" x14ac:dyDescent="0.3">
      <c r="A88" s="6"/>
      <c r="B88" s="6"/>
      <c r="C88" s="23"/>
      <c r="D88" s="46"/>
      <c r="E88" s="6"/>
      <c r="F88" s="6"/>
      <c r="G88" s="6"/>
      <c r="H88" s="23"/>
      <c r="I88" s="46"/>
      <c r="J88" s="6"/>
      <c r="K88" s="5"/>
      <c r="L88" s="16"/>
      <c r="Q88" s="16"/>
    </row>
    <row r="89" spans="1:25" x14ac:dyDescent="0.3">
      <c r="A89" s="6"/>
      <c r="B89" s="6"/>
      <c r="C89" s="23"/>
      <c r="D89" s="46"/>
      <c r="E89" s="6"/>
      <c r="F89" s="6"/>
      <c r="G89" s="6"/>
      <c r="H89" s="23"/>
      <c r="I89" s="46"/>
      <c r="J89" s="6"/>
      <c r="K89" s="5"/>
      <c r="L89" s="16"/>
      <c r="Q89" s="16"/>
    </row>
    <row r="90" spans="1:25" x14ac:dyDescent="0.3">
      <c r="A90" s="6"/>
      <c r="B90" s="6"/>
      <c r="C90" s="23"/>
      <c r="D90" s="46"/>
      <c r="E90" s="6"/>
      <c r="F90" s="6"/>
      <c r="G90" s="6"/>
      <c r="H90" s="23"/>
      <c r="I90" s="46"/>
      <c r="J90" s="6"/>
      <c r="K90" s="5"/>
      <c r="L90" s="16"/>
      <c r="Q90" s="16"/>
    </row>
    <row r="91" spans="1:25" x14ac:dyDescent="0.3">
      <c r="A91" s="6"/>
      <c r="B91" s="6"/>
      <c r="C91" s="23"/>
      <c r="D91" s="46"/>
      <c r="E91" s="6"/>
      <c r="F91" s="6"/>
      <c r="G91" s="6"/>
      <c r="H91" s="23"/>
      <c r="I91" s="46"/>
      <c r="J91" s="6"/>
      <c r="K91" s="5"/>
      <c r="L91" s="16"/>
      <c r="Q91" s="16"/>
    </row>
    <row r="92" spans="1:25" x14ac:dyDescent="0.3">
      <c r="A92" s="6"/>
      <c r="B92" s="6"/>
      <c r="C92" s="23"/>
      <c r="D92" s="46"/>
      <c r="E92" s="6"/>
      <c r="F92" s="6"/>
      <c r="G92" s="6"/>
      <c r="H92" s="23"/>
      <c r="I92" s="46"/>
      <c r="J92" s="6"/>
      <c r="K92" s="5"/>
      <c r="L92" s="16"/>
      <c r="Q92" s="16"/>
    </row>
    <row r="93" spans="1:25" x14ac:dyDescent="0.3">
      <c r="A93" s="6"/>
      <c r="B93" s="6"/>
      <c r="C93" s="23"/>
      <c r="D93" s="46"/>
      <c r="E93" s="6"/>
      <c r="F93" s="6"/>
      <c r="G93" s="6"/>
      <c r="H93" s="23"/>
      <c r="I93" s="46"/>
      <c r="J93" s="6"/>
      <c r="K93" s="5"/>
      <c r="L93" s="16"/>
      <c r="Q93" s="16"/>
    </row>
    <row r="94" spans="1:25" x14ac:dyDescent="0.3">
      <c r="A94" s="6"/>
      <c r="B94" s="6"/>
      <c r="C94" s="23"/>
      <c r="D94" s="46"/>
      <c r="E94" s="6"/>
      <c r="F94" s="6"/>
      <c r="G94" s="6"/>
      <c r="H94" s="23"/>
      <c r="I94" s="46"/>
      <c r="J94" s="6"/>
      <c r="K94" s="5"/>
      <c r="L94" s="16"/>
      <c r="Q94" s="16"/>
    </row>
    <row r="95" spans="1:25" x14ac:dyDescent="0.3">
      <c r="A95" s="6"/>
      <c r="B95" s="6"/>
      <c r="C95" s="23"/>
      <c r="D95" s="46"/>
      <c r="E95" s="6"/>
      <c r="F95" s="6"/>
      <c r="G95" s="6"/>
      <c r="H95" s="23"/>
      <c r="I95" s="46"/>
      <c r="J95" s="6"/>
      <c r="K95" s="5"/>
      <c r="L95" s="16"/>
      <c r="Q95" s="16"/>
    </row>
    <row r="96" spans="1:25" x14ac:dyDescent="0.3">
      <c r="A96" s="6"/>
      <c r="B96" s="6"/>
      <c r="C96" s="23"/>
      <c r="D96" s="46"/>
      <c r="E96" s="6"/>
      <c r="F96" s="6"/>
      <c r="G96" s="6"/>
      <c r="H96" s="23"/>
      <c r="I96" s="46"/>
      <c r="J96" s="6"/>
      <c r="K96" s="5"/>
      <c r="L96" s="16"/>
      <c r="Q96" s="16"/>
    </row>
    <row r="97" spans="1:17" x14ac:dyDescent="0.3">
      <c r="A97" s="6"/>
      <c r="B97" s="6"/>
      <c r="C97" s="23"/>
      <c r="D97" s="46"/>
      <c r="E97" s="6"/>
      <c r="F97" s="6"/>
      <c r="G97" s="6"/>
      <c r="H97" s="23"/>
      <c r="I97" s="46"/>
      <c r="J97" s="6"/>
      <c r="K97" s="5"/>
      <c r="L97" s="16"/>
      <c r="Q97" s="16"/>
    </row>
    <row r="98" spans="1:17" x14ac:dyDescent="0.3">
      <c r="A98" s="6"/>
      <c r="B98" s="6"/>
      <c r="C98" s="23"/>
      <c r="D98" s="46"/>
      <c r="E98" s="6"/>
      <c r="F98" s="6"/>
      <c r="G98" s="6"/>
      <c r="H98" s="23"/>
      <c r="I98" s="46"/>
      <c r="J98" s="6"/>
      <c r="K98" s="5"/>
      <c r="L98" s="16"/>
      <c r="Q98" s="16"/>
    </row>
    <row r="99" spans="1:17" x14ac:dyDescent="0.3">
      <c r="A99" s="6"/>
      <c r="B99" s="6"/>
      <c r="C99" s="23"/>
      <c r="D99" s="46"/>
      <c r="E99" s="6"/>
      <c r="F99" s="6"/>
      <c r="G99" s="6"/>
      <c r="H99" s="23"/>
      <c r="I99" s="46"/>
      <c r="J99" s="6"/>
      <c r="K99" s="5"/>
      <c r="L99" s="16"/>
      <c r="Q99" s="16"/>
    </row>
    <row r="100" spans="1:17" x14ac:dyDescent="0.3">
      <c r="A100" s="6"/>
      <c r="B100" s="6"/>
      <c r="C100" s="23"/>
      <c r="D100" s="46"/>
      <c r="E100" s="6"/>
      <c r="F100" s="6"/>
      <c r="G100" s="6"/>
      <c r="H100" s="23"/>
      <c r="I100" s="46"/>
      <c r="J100" s="6"/>
      <c r="K100" s="5"/>
      <c r="L100" s="16"/>
      <c r="Q100" s="16"/>
    </row>
    <row r="101" spans="1:17" x14ac:dyDescent="0.3">
      <c r="A101" s="6"/>
      <c r="B101" s="6"/>
      <c r="C101" s="23"/>
      <c r="D101" s="46"/>
      <c r="E101" s="6"/>
      <c r="F101" s="6"/>
      <c r="G101" s="6"/>
      <c r="H101" s="23"/>
      <c r="I101" s="46"/>
      <c r="J101" s="6"/>
      <c r="K101" s="5"/>
      <c r="L101" s="16"/>
      <c r="Q101" s="16"/>
    </row>
    <row r="102" spans="1:17" x14ac:dyDescent="0.3">
      <c r="A102" s="6"/>
      <c r="B102" s="6"/>
      <c r="C102" s="23"/>
      <c r="D102" s="46"/>
      <c r="E102" s="6"/>
      <c r="F102" s="6"/>
      <c r="G102" s="6"/>
      <c r="H102" s="23"/>
      <c r="I102" s="46"/>
      <c r="J102" s="6"/>
      <c r="K102" s="5"/>
      <c r="L102" s="16"/>
    </row>
    <row r="103" spans="1:17" x14ac:dyDescent="0.3">
      <c r="A103" s="6"/>
      <c r="B103" s="6"/>
      <c r="C103" s="23"/>
      <c r="D103" s="46"/>
      <c r="E103" s="6"/>
      <c r="F103" s="6"/>
      <c r="G103" s="6"/>
      <c r="H103" s="23"/>
      <c r="I103" s="46"/>
      <c r="J103" s="6"/>
      <c r="K103" s="5"/>
    </row>
    <row r="104" spans="1:17" x14ac:dyDescent="0.3">
      <c r="A104" s="6"/>
      <c r="B104" s="6"/>
      <c r="C104" s="23"/>
      <c r="D104" s="46"/>
      <c r="E104" s="6"/>
      <c r="F104" s="6"/>
      <c r="G104" s="6"/>
      <c r="H104" s="23"/>
      <c r="I104" s="46"/>
      <c r="J104" s="6"/>
      <c r="K104" s="5"/>
    </row>
    <row r="105" spans="1:17" x14ac:dyDescent="0.3">
      <c r="A105" s="6"/>
      <c r="B105" s="6"/>
      <c r="C105" s="23"/>
      <c r="D105" s="46"/>
      <c r="E105" s="6"/>
      <c r="F105" s="6"/>
      <c r="G105" s="6"/>
      <c r="H105" s="23"/>
      <c r="I105" s="46"/>
      <c r="J105" s="6"/>
      <c r="K105" s="5"/>
    </row>
    <row r="106" spans="1:17" x14ac:dyDescent="0.3">
      <c r="A106" s="6"/>
      <c r="B106" s="6"/>
      <c r="C106" s="23"/>
      <c r="D106" s="46"/>
      <c r="E106" s="6"/>
      <c r="F106" s="6"/>
      <c r="G106" s="6"/>
      <c r="H106" s="23"/>
      <c r="I106" s="46"/>
      <c r="J106" s="6"/>
      <c r="K106" s="5"/>
    </row>
    <row r="107" spans="1:17" x14ac:dyDescent="0.3">
      <c r="A107" s="6"/>
      <c r="B107" s="6"/>
      <c r="C107" s="23"/>
      <c r="D107" s="46"/>
      <c r="E107" s="6"/>
      <c r="F107" s="6"/>
      <c r="G107" s="6"/>
      <c r="H107" s="23"/>
      <c r="I107" s="46"/>
      <c r="J107" s="6"/>
      <c r="K107" s="5"/>
    </row>
    <row r="108" spans="1:17" x14ac:dyDescent="0.3">
      <c r="A108" s="6"/>
      <c r="B108" s="6"/>
      <c r="C108" s="23"/>
      <c r="D108" s="46"/>
      <c r="E108" s="6"/>
      <c r="F108" s="6"/>
      <c r="G108" s="6"/>
      <c r="H108" s="23"/>
      <c r="I108" s="46"/>
      <c r="J108" s="6"/>
      <c r="K108" s="5"/>
    </row>
    <row r="109" spans="1:17" x14ac:dyDescent="0.3">
      <c r="A109" s="6"/>
      <c r="B109" s="6"/>
      <c r="C109" s="23"/>
      <c r="D109" s="46"/>
      <c r="E109" s="6"/>
      <c r="F109" s="6"/>
      <c r="G109" s="6"/>
      <c r="H109" s="23"/>
      <c r="I109" s="46"/>
      <c r="J109" s="6"/>
      <c r="K109" s="5"/>
    </row>
    <row r="110" spans="1:17" x14ac:dyDescent="0.3">
      <c r="A110" s="6"/>
      <c r="B110" s="6"/>
      <c r="C110" s="23"/>
      <c r="D110" s="46"/>
      <c r="E110" s="6"/>
      <c r="F110" s="6"/>
      <c r="H110" s="23"/>
      <c r="I110" s="46"/>
      <c r="J110" s="6"/>
      <c r="K110" s="5"/>
    </row>
    <row r="111" spans="1:17" x14ac:dyDescent="0.3">
      <c r="A111" s="6"/>
      <c r="B111" s="6"/>
      <c r="C111" s="23"/>
      <c r="D111" s="46"/>
      <c r="E111" s="6"/>
      <c r="F111" s="6"/>
      <c r="H111" s="23"/>
      <c r="I111" s="46"/>
      <c r="J111" s="6"/>
      <c r="K111" s="5"/>
    </row>
    <row r="112" spans="1:17" x14ac:dyDescent="0.3">
      <c r="A112" s="6"/>
      <c r="B112" s="6"/>
      <c r="C112" s="23"/>
      <c r="D112" s="46"/>
      <c r="E112" s="6"/>
      <c r="F112" s="6"/>
      <c r="H112" s="23"/>
      <c r="I112" s="46"/>
      <c r="J112" s="6"/>
      <c r="K112" s="5"/>
      <c r="L112" s="16"/>
    </row>
    <row r="113" spans="1:12" x14ac:dyDescent="0.3">
      <c r="A113" s="6"/>
      <c r="B113" s="6"/>
      <c r="C113" s="23"/>
      <c r="D113" s="46"/>
      <c r="E113" s="6"/>
      <c r="F113" s="6"/>
      <c r="H113" s="23"/>
      <c r="I113" s="46"/>
      <c r="J113" s="6"/>
      <c r="K113" s="5"/>
      <c r="L113" s="16"/>
    </row>
    <row r="114" spans="1:12" x14ac:dyDescent="0.3">
      <c r="A114" s="6"/>
      <c r="B114" s="6"/>
      <c r="C114" s="23"/>
      <c r="D114" s="46"/>
      <c r="E114" s="6"/>
      <c r="F114" s="6"/>
      <c r="H114" s="23"/>
      <c r="I114" s="46"/>
      <c r="J114" s="6"/>
      <c r="K114" s="5"/>
      <c r="L114" s="16"/>
    </row>
    <row r="115" spans="1:12" x14ac:dyDescent="0.3">
      <c r="A115" s="6"/>
      <c r="B115" s="6"/>
      <c r="C115" s="23"/>
      <c r="D115" s="46"/>
      <c r="E115" s="6"/>
      <c r="F115" s="6"/>
      <c r="H115" s="23"/>
      <c r="I115" s="46"/>
      <c r="J115" s="6"/>
      <c r="K115" s="5"/>
      <c r="L115" s="16"/>
    </row>
    <row r="116" spans="1:12" x14ac:dyDescent="0.3">
      <c r="A116" s="6"/>
      <c r="B116" s="6"/>
      <c r="C116" s="23"/>
      <c r="D116" s="46"/>
      <c r="E116" s="6"/>
      <c r="F116" s="6"/>
      <c r="H116" s="23"/>
      <c r="I116" s="46"/>
      <c r="J116" s="6"/>
      <c r="K116" s="5"/>
      <c r="L116" s="16"/>
    </row>
    <row r="117" spans="1:12" x14ac:dyDescent="0.3">
      <c r="A117" s="6"/>
      <c r="B117" s="6"/>
      <c r="C117" s="23"/>
      <c r="D117" s="46"/>
      <c r="E117" s="6"/>
      <c r="F117" s="6"/>
      <c r="H117" s="23"/>
      <c r="I117" s="46"/>
      <c r="J117" s="6"/>
      <c r="K117" s="5"/>
      <c r="L117" s="16"/>
    </row>
    <row r="118" spans="1:12" x14ac:dyDescent="0.3">
      <c r="A118" s="6"/>
      <c r="B118" s="6"/>
      <c r="C118" s="23"/>
      <c r="D118" s="46"/>
      <c r="E118" s="6"/>
      <c r="F118" s="6"/>
      <c r="H118" s="23"/>
      <c r="I118" s="46"/>
      <c r="J118" s="6"/>
      <c r="K118" s="5"/>
      <c r="L118" s="16"/>
    </row>
    <row r="119" spans="1:12" x14ac:dyDescent="0.3">
      <c r="A119" s="6"/>
      <c r="B119" s="6"/>
      <c r="C119" s="23"/>
      <c r="D119" s="46"/>
      <c r="E119" s="6"/>
      <c r="F119" s="6"/>
      <c r="H119" s="23"/>
      <c r="I119" s="46"/>
      <c r="J119" s="6"/>
      <c r="K119" s="5"/>
      <c r="L119" s="16"/>
    </row>
    <row r="120" spans="1:12" x14ac:dyDescent="0.3">
      <c r="A120" s="6"/>
      <c r="B120" s="6"/>
      <c r="C120" s="23"/>
      <c r="D120" s="46"/>
      <c r="E120" s="6"/>
      <c r="F120" s="6"/>
      <c r="H120" s="23"/>
      <c r="I120" s="46"/>
      <c r="J120" s="6"/>
      <c r="K120" s="5"/>
      <c r="L120" s="16"/>
    </row>
    <row r="121" spans="1:12" x14ac:dyDescent="0.3">
      <c r="A121" s="6"/>
      <c r="B121" s="6"/>
      <c r="C121" s="23"/>
      <c r="D121" s="46"/>
      <c r="E121" s="6"/>
      <c r="F121" s="6"/>
      <c r="G121" s="6"/>
      <c r="H121" s="23"/>
      <c r="I121" s="46"/>
      <c r="J121" s="6"/>
      <c r="K121" s="5"/>
      <c r="L121" s="16"/>
    </row>
    <row r="122" spans="1:12" x14ac:dyDescent="0.3">
      <c r="A122" s="6"/>
      <c r="B122" s="6"/>
      <c r="C122" s="23"/>
      <c r="D122" s="46"/>
      <c r="E122" s="6"/>
      <c r="F122" s="6"/>
      <c r="G122" s="6"/>
      <c r="H122" s="23"/>
      <c r="I122" s="46"/>
      <c r="J122" s="6"/>
      <c r="K122" s="5"/>
      <c r="L122" s="16"/>
    </row>
    <row r="123" spans="1:12" x14ac:dyDescent="0.3">
      <c r="A123" s="6"/>
      <c r="B123" s="6"/>
      <c r="C123" s="23"/>
      <c r="D123" s="46"/>
      <c r="E123" s="6"/>
      <c r="F123" s="6"/>
      <c r="G123" s="6"/>
      <c r="H123" s="23"/>
      <c r="I123" s="46"/>
      <c r="J123" s="6"/>
      <c r="K123" s="5"/>
      <c r="L123" s="16"/>
    </row>
    <row r="124" spans="1:12" x14ac:dyDescent="0.3">
      <c r="A124" s="6"/>
      <c r="B124" s="6"/>
      <c r="C124" s="23"/>
      <c r="D124" s="46"/>
      <c r="E124" s="6"/>
      <c r="F124" s="6"/>
      <c r="G124" s="6"/>
      <c r="H124" s="23"/>
      <c r="I124" s="46"/>
      <c r="J124" s="6"/>
      <c r="K124" s="5"/>
      <c r="L124" s="16"/>
    </row>
    <row r="125" spans="1:12" x14ac:dyDescent="0.3">
      <c r="A125" s="6"/>
      <c r="B125" s="6"/>
      <c r="C125" s="23"/>
      <c r="D125" s="46"/>
      <c r="E125" s="6"/>
      <c r="F125" s="6"/>
      <c r="G125" s="6"/>
      <c r="H125" s="23"/>
      <c r="I125" s="46"/>
      <c r="J125" s="6"/>
      <c r="K125" s="5"/>
      <c r="L125" s="16"/>
    </row>
    <row r="126" spans="1:12" x14ac:dyDescent="0.3">
      <c r="A126" s="6"/>
      <c r="B126" s="6"/>
      <c r="C126" s="23"/>
      <c r="D126" s="46"/>
      <c r="E126" s="6"/>
      <c r="F126" s="6"/>
      <c r="G126" s="6"/>
      <c r="H126" s="23"/>
      <c r="I126" s="46"/>
      <c r="J126" s="6"/>
      <c r="K126" s="5"/>
      <c r="L126" s="16"/>
    </row>
    <row r="127" spans="1:12" x14ac:dyDescent="0.3">
      <c r="A127" s="6"/>
      <c r="B127" s="6"/>
      <c r="C127" s="23"/>
      <c r="D127" s="46"/>
      <c r="E127" s="6"/>
      <c r="F127" s="6"/>
      <c r="G127" s="6"/>
      <c r="H127" s="23"/>
      <c r="I127" s="46"/>
      <c r="J127" s="6"/>
      <c r="K127" s="5"/>
      <c r="L127" s="16"/>
    </row>
    <row r="128" spans="1:12" x14ac:dyDescent="0.3">
      <c r="A128" s="6"/>
      <c r="B128" s="6"/>
      <c r="C128" s="23"/>
      <c r="D128" s="46"/>
      <c r="E128" s="6"/>
      <c r="F128" s="6"/>
      <c r="G128" s="6"/>
      <c r="H128" s="23"/>
      <c r="I128" s="46"/>
      <c r="J128" s="6"/>
      <c r="K128" s="5"/>
      <c r="L128" s="16"/>
    </row>
    <row r="129" spans="1:12" x14ac:dyDescent="0.3">
      <c r="A129" s="6"/>
      <c r="E129" s="6"/>
      <c r="F129" s="6"/>
      <c r="H129" s="23"/>
      <c r="I129" s="46"/>
      <c r="J129" s="6"/>
      <c r="K129" s="5"/>
      <c r="L129" s="16"/>
    </row>
    <row r="130" spans="1:12" x14ac:dyDescent="0.3">
      <c r="A130" s="6"/>
      <c r="E130" s="6"/>
      <c r="F130" s="6"/>
      <c r="H130" s="23"/>
      <c r="I130" s="46"/>
      <c r="J130" s="6"/>
      <c r="K130" s="5"/>
      <c r="L130" s="16"/>
    </row>
    <row r="131" spans="1:12" x14ac:dyDescent="0.3">
      <c r="A131" s="6"/>
      <c r="H131" s="23"/>
      <c r="I131" s="46"/>
      <c r="K131" s="5"/>
      <c r="L131" s="16"/>
    </row>
    <row r="132" spans="1:12" x14ac:dyDescent="0.3">
      <c r="H132" s="23"/>
      <c r="I132" s="46"/>
    </row>
  </sheetData>
  <sortState xmlns:xlrd2="http://schemas.microsoft.com/office/spreadsheetml/2017/richdata2" ref="A78:E91">
    <sortCondition ref="A78:A91"/>
    <sortCondition descending="1" ref="D78:D91"/>
  </sortState>
  <mergeCells count="11">
    <mergeCell ref="A32:B32"/>
    <mergeCell ref="F32:G32"/>
    <mergeCell ref="K32:L32"/>
    <mergeCell ref="A46:B46"/>
    <mergeCell ref="F46:G46"/>
    <mergeCell ref="A1:G1"/>
    <mergeCell ref="A4:B4"/>
    <mergeCell ref="A18:B18"/>
    <mergeCell ref="F18:G18"/>
    <mergeCell ref="K18:L18"/>
    <mergeCell ref="F4:G4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7" fitToHeight="0" orientation="landscape" r:id="rId1"/>
  <headerFooter alignWithMargins="0">
    <oddFooter>&amp;R&amp;"Arial Narrow,Standard"Seite &amp;P von &amp;N</oddFooter>
  </headerFooter>
  <rowBreaks count="1" manualBreakCount="1">
    <brk id="30" max="1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5DA5-0EC3-4D59-9D76-5B719478F8A3}">
  <sheetPr>
    <pageSetUpPr fitToPage="1"/>
  </sheetPr>
  <dimension ref="A1:Y116"/>
  <sheetViews>
    <sheetView tabSelected="1" zoomScale="55" zoomScaleNormal="55" zoomScaleSheetLayoutView="80" zoomScalePageLayoutView="80" workbookViewId="0">
      <selection activeCell="L6" sqref="L6"/>
    </sheetView>
  </sheetViews>
  <sheetFormatPr baseColWidth="10" defaultColWidth="11.42578125" defaultRowHeight="18.75" x14ac:dyDescent="0.3"/>
  <cols>
    <col min="1" max="1" width="4.5703125" style="19" bestFit="1" customWidth="1"/>
    <col min="2" max="2" width="50" style="4" customWidth="1"/>
    <col min="3" max="3" width="8.42578125" style="72" customWidth="1"/>
    <col min="4" max="4" width="7" style="76" customWidth="1"/>
    <col min="5" max="5" width="15.5703125" style="4" customWidth="1"/>
    <col min="6" max="6" width="4.5703125" style="19" bestFit="1" customWidth="1"/>
    <col min="7" max="7" width="50" style="4" customWidth="1"/>
    <col min="8" max="8" width="8.42578125" style="72" customWidth="1"/>
    <col min="9" max="9" width="7" style="76" customWidth="1"/>
    <col min="10" max="10" width="6.42578125" style="4" customWidth="1"/>
    <col min="11" max="11" width="4.5703125" style="180" bestFit="1" customWidth="1"/>
    <col min="12" max="12" width="50" style="60" customWidth="1"/>
    <col min="13" max="13" width="8.42578125" style="72" customWidth="1"/>
    <col min="14" max="14" width="7" style="76" customWidth="1"/>
    <col min="15" max="15" width="6.42578125" style="4" customWidth="1"/>
    <col min="16" max="16" width="4.42578125" style="66" customWidth="1"/>
    <col min="17" max="17" width="54.28515625" style="66" bestFit="1" customWidth="1"/>
    <col min="18" max="18" width="7.85546875" style="67" bestFit="1" customWidth="1"/>
    <col min="19" max="19" width="6.28515625" style="68" bestFit="1" customWidth="1"/>
    <col min="20" max="20" width="14.85546875" style="4" bestFit="1" customWidth="1"/>
    <col min="21" max="21" width="4.42578125" style="51" customWidth="1"/>
    <col min="22" max="22" width="56.140625" style="98" customWidth="1"/>
    <col min="23" max="23" width="7.85546875" style="52" bestFit="1" customWidth="1"/>
    <col min="24" max="24" width="7.140625" style="92" bestFit="1" customWidth="1"/>
    <col min="25" max="25" width="11.42578125" style="66"/>
    <col min="26" max="16384" width="11.42578125" style="4"/>
  </cols>
  <sheetData>
    <row r="1" spans="1:25" ht="30" customHeight="1" x14ac:dyDescent="0.3">
      <c r="A1" s="204" t="s">
        <v>384</v>
      </c>
      <c r="B1" s="204"/>
      <c r="C1" s="204"/>
      <c r="D1" s="204"/>
      <c r="E1" s="204"/>
      <c r="F1" s="204"/>
      <c r="G1" s="204"/>
      <c r="H1" s="73"/>
      <c r="I1" s="81"/>
      <c r="J1" s="1"/>
      <c r="K1" s="1"/>
      <c r="L1" s="2" t="s">
        <v>566</v>
      </c>
      <c r="M1" s="73"/>
      <c r="N1" s="81"/>
      <c r="O1" s="1"/>
      <c r="P1" s="91"/>
      <c r="Q1" s="120" t="s">
        <v>312</v>
      </c>
      <c r="S1" s="46" t="s">
        <v>436</v>
      </c>
      <c r="T1" s="188">
        <f>COUNTIF($T$8:$T$120,S1)</f>
        <v>10</v>
      </c>
      <c r="U1" s="70"/>
      <c r="V1" s="79"/>
      <c r="W1" s="23"/>
      <c r="X1" s="46" t="s">
        <v>436</v>
      </c>
      <c r="Y1" s="188">
        <f>COUNTIF($Y$8:$Y$120,X1)</f>
        <v>8</v>
      </c>
    </row>
    <row r="2" spans="1:25" s="6" customFormat="1" ht="37.5" customHeight="1" x14ac:dyDescent="0.25">
      <c r="A2" s="5"/>
      <c r="C2" s="70"/>
      <c r="D2" s="74"/>
      <c r="F2" s="5"/>
      <c r="H2" s="70"/>
      <c r="I2" s="74"/>
      <c r="K2" s="5"/>
      <c r="M2" s="70"/>
      <c r="N2" s="74"/>
      <c r="P2" s="91"/>
      <c r="Q2" s="109" t="s">
        <v>294</v>
      </c>
      <c r="R2" s="67"/>
      <c r="S2" s="46" t="s">
        <v>292</v>
      </c>
      <c r="T2" s="188">
        <f>COUNTIF($T$8:$T$120,S2)</f>
        <v>8</v>
      </c>
      <c r="U2" s="70"/>
      <c r="V2" s="79"/>
      <c r="W2" s="70"/>
      <c r="X2" s="46" t="s">
        <v>292</v>
      </c>
      <c r="Y2" s="188">
        <f>COUNTIF($Y$8:$Y$120,X2)</f>
        <v>8</v>
      </c>
    </row>
    <row r="3" spans="1:25" s="6" customFormat="1" ht="22.5" customHeight="1" x14ac:dyDescent="0.25">
      <c r="A3" s="7" t="s">
        <v>0</v>
      </c>
      <c r="B3" s="8" t="s">
        <v>117</v>
      </c>
      <c r="C3" s="71"/>
      <c r="D3" s="75"/>
      <c r="F3" s="7" t="s">
        <v>0</v>
      </c>
      <c r="G3" s="8" t="s">
        <v>118</v>
      </c>
      <c r="H3" s="71"/>
      <c r="I3" s="75"/>
      <c r="K3" s="5"/>
      <c r="L3" s="16"/>
      <c r="M3" s="71"/>
      <c r="N3" s="75"/>
      <c r="P3" s="91"/>
      <c r="Q3" s="142" t="s">
        <v>430</v>
      </c>
      <c r="R3" s="67"/>
      <c r="S3" s="46" t="s">
        <v>446</v>
      </c>
      <c r="T3" s="188">
        <f>COUNTIF($T$8:$T$120,S3)</f>
        <v>32</v>
      </c>
      <c r="U3" s="70" t="s">
        <v>453</v>
      </c>
      <c r="V3" s="79"/>
      <c r="W3" s="70"/>
      <c r="X3" s="46" t="s">
        <v>293</v>
      </c>
      <c r="Y3" s="188">
        <f>COUNTIF($Y$8:$Y$120,X3)</f>
        <v>17</v>
      </c>
    </row>
    <row r="4" spans="1:25" s="9" customFormat="1" ht="22.5" customHeight="1" x14ac:dyDescent="0.25">
      <c r="A4" s="205" t="s">
        <v>193</v>
      </c>
      <c r="B4" s="206"/>
      <c r="C4" s="22" t="s">
        <v>168</v>
      </c>
      <c r="D4" s="27" t="s">
        <v>167</v>
      </c>
      <c r="F4" s="205" t="s">
        <v>194</v>
      </c>
      <c r="G4" s="206"/>
      <c r="H4" s="22" t="s">
        <v>168</v>
      </c>
      <c r="I4" s="27" t="s">
        <v>167</v>
      </c>
      <c r="K4" s="40"/>
      <c r="L4" s="16"/>
      <c r="M4" s="22"/>
      <c r="N4" s="27"/>
      <c r="P4" s="91"/>
      <c r="Q4" s="8"/>
      <c r="R4" s="67"/>
      <c r="S4" s="46" t="s">
        <v>447</v>
      </c>
      <c r="T4" s="188">
        <f>COUNTIF($T$8:$T$120,S4)</f>
        <v>32</v>
      </c>
      <c r="U4" s="70" t="s">
        <v>453</v>
      </c>
      <c r="V4" s="79"/>
      <c r="W4" s="70"/>
      <c r="X4" s="46" t="s">
        <v>447</v>
      </c>
      <c r="Y4" s="188">
        <f>COUNTIF($Y$8:$Y$120,X4)</f>
        <v>0</v>
      </c>
    </row>
    <row r="5" spans="1:25" s="6" customFormat="1" ht="22.5" customHeight="1" x14ac:dyDescent="0.25">
      <c r="A5" s="10" t="s">
        <v>1</v>
      </c>
      <c r="B5" s="11" t="s">
        <v>59</v>
      </c>
      <c r="C5" s="23">
        <f t="shared" ref="C5:C14" si="0">VLOOKUP(B5,$Q:$S,2,0)</f>
        <v>16</v>
      </c>
      <c r="D5" s="46">
        <f t="shared" ref="D5:D14" si="1">VLOOKUP(B5,$Q:$S,3,0)</f>
        <v>2.6666666666666665</v>
      </c>
      <c r="E5" s="6" t="s">
        <v>542</v>
      </c>
      <c r="F5" s="10" t="s">
        <v>1</v>
      </c>
      <c r="G5" s="11" t="s">
        <v>390</v>
      </c>
      <c r="H5" s="23">
        <f>VLOOKUP(G5,$V:$X,2,0)</f>
        <v>16</v>
      </c>
      <c r="I5" s="46">
        <f>VLOOKUP(G5,$V:$X,3,0)</f>
        <v>2.6666666666666665</v>
      </c>
      <c r="K5" s="40"/>
      <c r="L5" s="16"/>
      <c r="M5" s="79"/>
      <c r="N5" s="80"/>
      <c r="P5" s="91"/>
      <c r="Q5" s="8"/>
      <c r="R5" s="67"/>
      <c r="S5" s="46" t="s">
        <v>445</v>
      </c>
      <c r="T5" s="188">
        <f>COUNTIF($T$8:$T$120,S5)</f>
        <v>6</v>
      </c>
      <c r="U5" s="70" t="s">
        <v>451</v>
      </c>
      <c r="V5" s="79"/>
      <c r="W5" s="70"/>
      <c r="X5" s="46" t="s">
        <v>452</v>
      </c>
      <c r="Y5" s="188">
        <f>COUNTIF($Y$8:$Y$120,X5)</f>
        <v>5</v>
      </c>
    </row>
    <row r="6" spans="1:25" s="6" customFormat="1" ht="22.5" customHeight="1" x14ac:dyDescent="0.25">
      <c r="A6" s="12" t="s">
        <v>2</v>
      </c>
      <c r="B6" s="13" t="s">
        <v>385</v>
      </c>
      <c r="C6" s="23">
        <f t="shared" si="0"/>
        <v>13</v>
      </c>
      <c r="D6" s="46">
        <f t="shared" si="1"/>
        <v>2.1666666666666665</v>
      </c>
      <c r="E6" s="6" t="s">
        <v>542</v>
      </c>
      <c r="F6" s="12" t="s">
        <v>2</v>
      </c>
      <c r="G6" s="13" t="s">
        <v>391</v>
      </c>
      <c r="H6" s="23">
        <f t="shared" ref="H6:H12" si="2">VLOOKUP(G6,$V:$X,2,0)</f>
        <v>14</v>
      </c>
      <c r="I6" s="46">
        <f t="shared" ref="I6:I12" si="3">VLOOKUP(G6,$V:$X,3,0)</f>
        <v>2.3333333333333335</v>
      </c>
      <c r="K6" s="40"/>
      <c r="L6" s="16"/>
      <c r="M6" s="79"/>
      <c r="N6" s="80"/>
      <c r="Q6" s="8"/>
      <c r="R6" s="67"/>
      <c r="S6" s="29"/>
      <c r="V6" s="8"/>
      <c r="W6" s="52"/>
      <c r="X6" s="29"/>
      <c r="Y6" s="66"/>
    </row>
    <row r="7" spans="1:25" s="6" customFormat="1" ht="22.5" customHeight="1" x14ac:dyDescent="0.25">
      <c r="A7" s="12" t="s">
        <v>3</v>
      </c>
      <c r="B7" s="13" t="s">
        <v>240</v>
      </c>
      <c r="C7" s="23">
        <f t="shared" si="0"/>
        <v>21</v>
      </c>
      <c r="D7" s="46">
        <f t="shared" si="1"/>
        <v>3</v>
      </c>
      <c r="E7" s="6" t="s">
        <v>543</v>
      </c>
      <c r="F7" s="12" t="s">
        <v>3</v>
      </c>
      <c r="G7" s="13" t="s">
        <v>392</v>
      </c>
      <c r="H7" s="23">
        <f t="shared" si="2"/>
        <v>13</v>
      </c>
      <c r="I7" s="46">
        <f t="shared" si="3"/>
        <v>2.1666666666666665</v>
      </c>
      <c r="K7" s="40"/>
      <c r="L7" s="16"/>
      <c r="M7" s="79"/>
      <c r="N7" s="80"/>
      <c r="P7" s="66"/>
      <c r="Q7" s="59" t="s">
        <v>170</v>
      </c>
      <c r="R7" s="53" t="s">
        <v>168</v>
      </c>
      <c r="S7" s="54" t="s">
        <v>167</v>
      </c>
      <c r="U7" s="51"/>
      <c r="V7" s="55" t="s">
        <v>171</v>
      </c>
      <c r="W7" s="22" t="s">
        <v>168</v>
      </c>
      <c r="X7" s="27" t="s">
        <v>167</v>
      </c>
      <c r="Y7" s="66"/>
    </row>
    <row r="8" spans="1:25" s="6" customFormat="1" ht="22.5" customHeight="1" x14ac:dyDescent="0.25">
      <c r="A8" s="12" t="s">
        <v>4</v>
      </c>
      <c r="B8" s="13" t="s">
        <v>92</v>
      </c>
      <c r="C8" s="23">
        <f t="shared" si="0"/>
        <v>18</v>
      </c>
      <c r="D8" s="46">
        <f t="shared" si="1"/>
        <v>2.5714285714285716</v>
      </c>
      <c r="E8" s="6" t="s">
        <v>543</v>
      </c>
      <c r="F8" s="12" t="s">
        <v>4</v>
      </c>
      <c r="G8" s="13" t="s">
        <v>395</v>
      </c>
      <c r="H8" s="23">
        <f t="shared" si="2"/>
        <v>10</v>
      </c>
      <c r="I8" s="46">
        <f t="shared" si="3"/>
        <v>2</v>
      </c>
      <c r="K8" s="40"/>
      <c r="L8" s="16"/>
      <c r="M8" s="79"/>
      <c r="N8" s="80"/>
      <c r="P8" s="62">
        <v>1</v>
      </c>
      <c r="Q8" s="58" t="s">
        <v>59</v>
      </c>
      <c r="R8" s="57">
        <v>16</v>
      </c>
      <c r="S8" s="63">
        <v>2.6666666666666665</v>
      </c>
      <c r="T8" s="9" t="s">
        <v>436</v>
      </c>
      <c r="U8" s="62">
        <v>1</v>
      </c>
      <c r="V8" s="64" t="s">
        <v>390</v>
      </c>
      <c r="W8" s="57">
        <v>16</v>
      </c>
      <c r="X8" s="63">
        <v>2.6666666666666665</v>
      </c>
      <c r="Y8" s="66" t="s">
        <v>436</v>
      </c>
    </row>
    <row r="9" spans="1:25" s="6" customFormat="1" ht="22.5" customHeight="1" x14ac:dyDescent="0.25">
      <c r="A9" s="12" t="s">
        <v>5</v>
      </c>
      <c r="B9" s="17" t="s">
        <v>244</v>
      </c>
      <c r="C9" s="23">
        <f t="shared" si="0"/>
        <v>15</v>
      </c>
      <c r="D9" s="46">
        <f t="shared" si="1"/>
        <v>2.1428571428571428</v>
      </c>
      <c r="E9" s="6" t="s">
        <v>543</v>
      </c>
      <c r="F9" s="12" t="s">
        <v>5</v>
      </c>
      <c r="G9" s="13" t="s">
        <v>197</v>
      </c>
      <c r="H9" s="23">
        <f t="shared" si="2"/>
        <v>7</v>
      </c>
      <c r="I9" s="46">
        <f t="shared" si="3"/>
        <v>1.4</v>
      </c>
      <c r="K9" s="40"/>
      <c r="L9" s="16"/>
      <c r="M9" s="79"/>
      <c r="N9" s="80"/>
      <c r="P9" s="25">
        <v>2</v>
      </c>
      <c r="Q9" s="6" t="s">
        <v>385</v>
      </c>
      <c r="R9" s="5">
        <v>13</v>
      </c>
      <c r="S9" s="30">
        <v>2.1666666666666665</v>
      </c>
      <c r="T9" s="6" t="s">
        <v>436</v>
      </c>
      <c r="U9" s="25">
        <v>2</v>
      </c>
      <c r="V9" s="16" t="s">
        <v>391</v>
      </c>
      <c r="W9" s="5">
        <v>14</v>
      </c>
      <c r="X9" s="30">
        <v>2.3333333333333335</v>
      </c>
      <c r="Y9" s="66" t="s">
        <v>436</v>
      </c>
    </row>
    <row r="10" spans="1:25" s="6" customFormat="1" ht="22.5" customHeight="1" x14ac:dyDescent="0.25">
      <c r="A10" s="12" t="s">
        <v>6</v>
      </c>
      <c r="B10" s="17" t="s">
        <v>241</v>
      </c>
      <c r="C10" s="23">
        <f t="shared" si="0"/>
        <v>15</v>
      </c>
      <c r="D10" s="46">
        <f t="shared" si="1"/>
        <v>2.5</v>
      </c>
      <c r="E10" s="6" t="s">
        <v>544</v>
      </c>
      <c r="F10" s="12" t="s">
        <v>6</v>
      </c>
      <c r="G10" s="13" t="s">
        <v>398</v>
      </c>
      <c r="H10" s="23">
        <f t="shared" si="2"/>
        <v>16</v>
      </c>
      <c r="I10" s="46">
        <f t="shared" si="3"/>
        <v>2.6666666666666665</v>
      </c>
      <c r="K10" s="40"/>
      <c r="L10" s="16"/>
      <c r="M10" s="79"/>
      <c r="N10" s="80"/>
      <c r="P10" s="25">
        <v>3</v>
      </c>
      <c r="Q10" s="6" t="s">
        <v>245</v>
      </c>
      <c r="R10" s="5">
        <v>11</v>
      </c>
      <c r="S10" s="30">
        <v>1.8333333333333333</v>
      </c>
      <c r="T10" s="6" t="s">
        <v>292</v>
      </c>
      <c r="U10" s="25">
        <v>3</v>
      </c>
      <c r="V10" s="16" t="s">
        <v>392</v>
      </c>
      <c r="W10" s="5">
        <v>13</v>
      </c>
      <c r="X10" s="30">
        <v>2.1666666666666665</v>
      </c>
      <c r="Y10" s="66" t="s">
        <v>436</v>
      </c>
    </row>
    <row r="11" spans="1:25" s="6" customFormat="1" ht="22.5" customHeight="1" x14ac:dyDescent="0.25">
      <c r="A11" s="12" t="s">
        <v>7</v>
      </c>
      <c r="B11" s="17" t="s">
        <v>232</v>
      </c>
      <c r="C11" s="23">
        <f t="shared" si="0"/>
        <v>13</v>
      </c>
      <c r="D11" s="46">
        <f t="shared" si="1"/>
        <v>2.1666666666666665</v>
      </c>
      <c r="E11" s="6" t="s">
        <v>544</v>
      </c>
      <c r="F11" s="12" t="s">
        <v>7</v>
      </c>
      <c r="G11" s="13" t="s">
        <v>399</v>
      </c>
      <c r="H11" s="23">
        <f t="shared" si="2"/>
        <v>14</v>
      </c>
      <c r="I11" s="46">
        <f t="shared" si="3"/>
        <v>2.3333333333333335</v>
      </c>
      <c r="K11" s="40"/>
      <c r="L11" s="16"/>
      <c r="M11" s="79"/>
      <c r="N11" s="80"/>
      <c r="P11" s="25">
        <v>4</v>
      </c>
      <c r="Q11" s="6" t="s">
        <v>76</v>
      </c>
      <c r="R11" s="5">
        <v>10</v>
      </c>
      <c r="S11" s="30">
        <v>1.6666666666666667</v>
      </c>
      <c r="T11" s="6" t="s">
        <v>292</v>
      </c>
      <c r="U11" s="25">
        <v>4</v>
      </c>
      <c r="V11" s="16" t="s">
        <v>11</v>
      </c>
      <c r="W11" s="5">
        <v>9</v>
      </c>
      <c r="X11" s="30">
        <v>1.5</v>
      </c>
      <c r="Y11" s="66" t="s">
        <v>292</v>
      </c>
    </row>
    <row r="12" spans="1:25" s="6" customFormat="1" ht="22.5" customHeight="1" x14ac:dyDescent="0.25">
      <c r="A12" s="12" t="s">
        <v>8</v>
      </c>
      <c r="B12" s="17" t="s">
        <v>72</v>
      </c>
      <c r="C12" s="23">
        <f t="shared" si="0"/>
        <v>18</v>
      </c>
      <c r="D12" s="46">
        <f t="shared" si="1"/>
        <v>2.5714285714285716</v>
      </c>
      <c r="E12" s="6" t="s">
        <v>545</v>
      </c>
      <c r="F12" s="14" t="s">
        <v>8</v>
      </c>
      <c r="G12" s="15" t="s">
        <v>400</v>
      </c>
      <c r="H12" s="23">
        <f t="shared" si="2"/>
        <v>13</v>
      </c>
      <c r="I12" s="46">
        <f t="shared" si="3"/>
        <v>2.1666666666666665</v>
      </c>
      <c r="K12" s="40"/>
      <c r="L12" s="16"/>
      <c r="M12" s="79"/>
      <c r="N12" s="80"/>
      <c r="P12" s="25">
        <v>5</v>
      </c>
      <c r="Q12" s="6" t="s">
        <v>100</v>
      </c>
      <c r="R12" s="5">
        <v>5</v>
      </c>
      <c r="S12" s="30">
        <v>0.83333333333333337</v>
      </c>
      <c r="T12" s="6" t="s">
        <v>446</v>
      </c>
      <c r="U12" s="25">
        <v>5</v>
      </c>
      <c r="V12" s="16" t="s">
        <v>41</v>
      </c>
      <c r="W12" s="5">
        <v>6</v>
      </c>
      <c r="X12" s="30">
        <v>1</v>
      </c>
      <c r="Y12" s="66" t="s">
        <v>292</v>
      </c>
    </row>
    <row r="13" spans="1:25" s="6" customFormat="1" ht="22.5" customHeight="1" x14ac:dyDescent="0.25">
      <c r="A13" s="12" t="s">
        <v>9</v>
      </c>
      <c r="B13" s="17" t="s">
        <v>91</v>
      </c>
      <c r="C13" s="23">
        <f t="shared" si="0"/>
        <v>18</v>
      </c>
      <c r="D13" s="46">
        <f t="shared" si="1"/>
        <v>3</v>
      </c>
      <c r="E13" s="6" t="s">
        <v>546</v>
      </c>
      <c r="F13" s="5"/>
      <c r="G13" s="16"/>
      <c r="H13" s="50"/>
      <c r="I13" s="24"/>
      <c r="K13" s="40"/>
      <c r="L13" s="16"/>
      <c r="M13" s="79"/>
      <c r="N13" s="80"/>
      <c r="P13" s="25">
        <v>6</v>
      </c>
      <c r="Q13" s="6" t="s">
        <v>386</v>
      </c>
      <c r="R13" s="5">
        <v>4</v>
      </c>
      <c r="S13" s="30">
        <v>0.66666666666666663</v>
      </c>
      <c r="T13" s="6" t="s">
        <v>446</v>
      </c>
      <c r="U13" s="25">
        <v>6</v>
      </c>
      <c r="V13" s="16" t="s">
        <v>393</v>
      </c>
      <c r="W13" s="5">
        <v>3</v>
      </c>
      <c r="X13" s="30">
        <v>0.5</v>
      </c>
      <c r="Y13" s="66" t="s">
        <v>292</v>
      </c>
    </row>
    <row r="14" spans="1:25" s="6" customFormat="1" ht="22.5" customHeight="1" x14ac:dyDescent="0.25">
      <c r="A14" s="14" t="s">
        <v>10</v>
      </c>
      <c r="B14" s="49" t="s">
        <v>242</v>
      </c>
      <c r="C14" s="23">
        <f t="shared" si="0"/>
        <v>10</v>
      </c>
      <c r="D14" s="46">
        <f t="shared" si="1"/>
        <v>1.6666666666666667</v>
      </c>
      <c r="E14" s="6" t="s">
        <v>546</v>
      </c>
      <c r="F14" s="5"/>
      <c r="G14" s="16"/>
      <c r="H14" s="50"/>
      <c r="I14" s="24"/>
      <c r="K14" s="40"/>
      <c r="L14" s="16"/>
      <c r="M14" s="79"/>
      <c r="N14" s="80"/>
      <c r="P14" s="26">
        <v>7</v>
      </c>
      <c r="Q14" s="65" t="s">
        <v>387</v>
      </c>
      <c r="R14" s="31">
        <v>0</v>
      </c>
      <c r="S14" s="32">
        <v>0</v>
      </c>
      <c r="T14" s="6" t="s">
        <v>446</v>
      </c>
      <c r="U14" s="26">
        <v>7</v>
      </c>
      <c r="V14" s="33" t="s">
        <v>261</v>
      </c>
      <c r="W14" s="31">
        <v>0</v>
      </c>
      <c r="X14" s="32">
        <v>0</v>
      </c>
      <c r="Y14" s="66" t="s">
        <v>293</v>
      </c>
    </row>
    <row r="15" spans="1:25" s="6" customFormat="1" ht="22.5" customHeight="1" x14ac:dyDescent="0.25">
      <c r="C15" s="70"/>
      <c r="D15" s="74"/>
      <c r="H15" s="70"/>
      <c r="I15" s="74"/>
      <c r="K15" s="40"/>
      <c r="L15" s="16"/>
      <c r="M15" s="70"/>
      <c r="N15" s="74"/>
      <c r="R15" s="5"/>
      <c r="S15" s="29"/>
      <c r="V15" s="16"/>
      <c r="W15" s="5"/>
      <c r="X15" s="29"/>
      <c r="Y15" s="66"/>
    </row>
    <row r="16" spans="1:25" s="9" customFormat="1" ht="22.5" customHeight="1" x14ac:dyDescent="0.25">
      <c r="A16" s="7" t="s">
        <v>0</v>
      </c>
      <c r="B16" s="8" t="s">
        <v>117</v>
      </c>
      <c r="C16" s="71"/>
      <c r="D16" s="75"/>
      <c r="E16" s="6"/>
      <c r="F16" s="7" t="s">
        <v>0</v>
      </c>
      <c r="G16" s="8" t="s">
        <v>118</v>
      </c>
      <c r="H16" s="71"/>
      <c r="I16" s="75"/>
      <c r="J16" s="6"/>
      <c r="K16" s="40"/>
      <c r="L16" s="16"/>
      <c r="M16" s="71"/>
      <c r="N16" s="75"/>
      <c r="P16" s="62">
        <v>1</v>
      </c>
      <c r="Q16" s="58" t="s">
        <v>240</v>
      </c>
      <c r="R16" s="57">
        <v>21</v>
      </c>
      <c r="S16" s="63">
        <v>3</v>
      </c>
      <c r="T16" s="6" t="s">
        <v>436</v>
      </c>
      <c r="U16" s="62">
        <v>1</v>
      </c>
      <c r="V16" s="64" t="s">
        <v>394</v>
      </c>
      <c r="W16" s="57">
        <v>15</v>
      </c>
      <c r="X16" s="63">
        <v>3</v>
      </c>
      <c r="Y16" s="66" t="s">
        <v>401</v>
      </c>
    </row>
    <row r="17" spans="1:25" s="6" customFormat="1" ht="22.5" customHeight="1" x14ac:dyDescent="0.25">
      <c r="A17" s="198" t="s">
        <v>195</v>
      </c>
      <c r="B17" s="199"/>
      <c r="C17" s="22" t="s">
        <v>168</v>
      </c>
      <c r="D17" s="27" t="s">
        <v>167</v>
      </c>
      <c r="E17" s="9"/>
      <c r="F17" s="198" t="s">
        <v>196</v>
      </c>
      <c r="G17" s="199"/>
      <c r="H17" s="22" t="s">
        <v>168</v>
      </c>
      <c r="I17" s="27" t="s">
        <v>167</v>
      </c>
      <c r="J17" s="9"/>
      <c r="K17" s="40"/>
      <c r="L17" s="16"/>
      <c r="M17" s="77"/>
      <c r="N17" s="78"/>
      <c r="P17" s="25">
        <v>2</v>
      </c>
      <c r="Q17" s="6" t="s">
        <v>92</v>
      </c>
      <c r="R17" s="5">
        <v>18</v>
      </c>
      <c r="S17" s="30">
        <v>2.5714285714285716</v>
      </c>
      <c r="T17" s="6" t="s">
        <v>436</v>
      </c>
      <c r="U17" s="25">
        <v>2</v>
      </c>
      <c r="V17" s="16" t="s">
        <v>395</v>
      </c>
      <c r="W17" s="5">
        <v>10</v>
      </c>
      <c r="X17" s="30">
        <v>2</v>
      </c>
      <c r="Y17" s="66" t="s">
        <v>436</v>
      </c>
    </row>
    <row r="18" spans="1:25" s="6" customFormat="1" ht="22.5" customHeight="1" x14ac:dyDescent="0.25">
      <c r="A18" s="10" t="s">
        <v>1</v>
      </c>
      <c r="B18" s="11" t="s">
        <v>245</v>
      </c>
      <c r="C18" s="50">
        <f t="shared" ref="C18:C25" si="4">VLOOKUP(B18,$Q:$S,2,0)</f>
        <v>11</v>
      </c>
      <c r="D18" s="46">
        <f t="shared" ref="D18:D25" si="5">VLOOKUP(B18,$Q:$S,3,0)</f>
        <v>1.8333333333333333</v>
      </c>
      <c r="E18" s="6" t="s">
        <v>542</v>
      </c>
      <c r="F18" s="10" t="s">
        <v>1</v>
      </c>
      <c r="G18" s="11" t="s">
        <v>11</v>
      </c>
      <c r="H18" s="23">
        <f>VLOOKUP(G18,$V:$X,2,0)</f>
        <v>9</v>
      </c>
      <c r="I18" s="46">
        <f>VLOOKUP(G18,$V:$X,3,0)</f>
        <v>1.5</v>
      </c>
      <c r="K18" s="40"/>
      <c r="L18" s="16"/>
      <c r="M18" s="79"/>
      <c r="N18" s="80"/>
      <c r="P18" s="25">
        <v>3</v>
      </c>
      <c r="Q18" s="6" t="s">
        <v>244</v>
      </c>
      <c r="R18" s="5">
        <v>15</v>
      </c>
      <c r="S18" s="30">
        <v>2.1428571428571428</v>
      </c>
      <c r="T18" s="6" t="s">
        <v>436</v>
      </c>
      <c r="U18" s="25">
        <v>3</v>
      </c>
      <c r="V18" s="16" t="s">
        <v>197</v>
      </c>
      <c r="W18" s="5">
        <v>7</v>
      </c>
      <c r="X18" s="30">
        <v>1.4</v>
      </c>
      <c r="Y18" s="66" t="s">
        <v>436</v>
      </c>
    </row>
    <row r="19" spans="1:25" s="6" customFormat="1" ht="22.5" customHeight="1" x14ac:dyDescent="0.25">
      <c r="A19" s="12" t="s">
        <v>2</v>
      </c>
      <c r="B19" s="13" t="s">
        <v>76</v>
      </c>
      <c r="C19" s="50">
        <f t="shared" si="4"/>
        <v>10</v>
      </c>
      <c r="D19" s="46">
        <f t="shared" si="5"/>
        <v>1.6666666666666667</v>
      </c>
      <c r="E19" s="6" t="s">
        <v>542</v>
      </c>
      <c r="F19" s="12" t="s">
        <v>2</v>
      </c>
      <c r="G19" s="13" t="s">
        <v>41</v>
      </c>
      <c r="H19" s="23">
        <f t="shared" ref="H19:H24" si="6">VLOOKUP(G19,$V:$X,2,0)</f>
        <v>6</v>
      </c>
      <c r="I19" s="46">
        <f t="shared" ref="I19:I24" si="7">VLOOKUP(G19,$V:$X,3,0)</f>
        <v>1</v>
      </c>
      <c r="K19" s="40"/>
      <c r="L19" s="16"/>
      <c r="M19" s="79"/>
      <c r="N19" s="80"/>
      <c r="P19" s="25">
        <v>4</v>
      </c>
      <c r="Q19" s="6" t="s">
        <v>133</v>
      </c>
      <c r="R19" s="5">
        <v>12</v>
      </c>
      <c r="S19" s="30">
        <v>1.7142857142857142</v>
      </c>
      <c r="T19" s="6" t="s">
        <v>292</v>
      </c>
      <c r="U19" s="25">
        <v>4</v>
      </c>
      <c r="V19" s="16" t="s">
        <v>19</v>
      </c>
      <c r="W19" s="5">
        <v>7</v>
      </c>
      <c r="X19" s="30">
        <v>1.4</v>
      </c>
      <c r="Y19" s="66" t="s">
        <v>292</v>
      </c>
    </row>
    <row r="20" spans="1:25" s="6" customFormat="1" ht="22.5" customHeight="1" x14ac:dyDescent="0.25">
      <c r="A20" s="12" t="s">
        <v>3</v>
      </c>
      <c r="B20" s="13" t="s">
        <v>133</v>
      </c>
      <c r="C20" s="50">
        <f t="shared" si="4"/>
        <v>12</v>
      </c>
      <c r="D20" s="46">
        <f t="shared" si="5"/>
        <v>1.7142857142857142</v>
      </c>
      <c r="E20" s="6" t="s">
        <v>543</v>
      </c>
      <c r="F20" s="12" t="s">
        <v>3</v>
      </c>
      <c r="G20" s="13" t="s">
        <v>393</v>
      </c>
      <c r="H20" s="23">
        <f t="shared" si="6"/>
        <v>3</v>
      </c>
      <c r="I20" s="46">
        <f t="shared" si="7"/>
        <v>0.5</v>
      </c>
      <c r="K20" s="40"/>
      <c r="L20" s="16"/>
      <c r="M20" s="79"/>
      <c r="N20" s="80"/>
      <c r="P20" s="25">
        <v>5</v>
      </c>
      <c r="Q20" s="6" t="s">
        <v>388</v>
      </c>
      <c r="R20" s="5">
        <v>9</v>
      </c>
      <c r="S20" s="30">
        <v>1.2857142857142858</v>
      </c>
      <c r="T20" s="6" t="s">
        <v>446</v>
      </c>
      <c r="U20" s="25">
        <v>5</v>
      </c>
      <c r="V20" s="16" t="s">
        <v>396</v>
      </c>
      <c r="W20" s="5">
        <v>4</v>
      </c>
      <c r="X20" s="30">
        <v>0.8</v>
      </c>
      <c r="Y20" s="66" t="s">
        <v>292</v>
      </c>
    </row>
    <row r="21" spans="1:25" s="6" customFormat="1" ht="22.5" customHeight="1" x14ac:dyDescent="0.25">
      <c r="A21" s="12" t="s">
        <v>4</v>
      </c>
      <c r="B21" s="13" t="s">
        <v>12</v>
      </c>
      <c r="C21" s="50">
        <f t="shared" si="4"/>
        <v>12</v>
      </c>
      <c r="D21" s="46">
        <f t="shared" si="5"/>
        <v>2</v>
      </c>
      <c r="E21" s="6" t="s">
        <v>544</v>
      </c>
      <c r="F21" s="12" t="s">
        <v>4</v>
      </c>
      <c r="G21" s="13" t="s">
        <v>19</v>
      </c>
      <c r="H21" s="23">
        <f t="shared" si="6"/>
        <v>7</v>
      </c>
      <c r="I21" s="46">
        <f t="shared" si="7"/>
        <v>1.4</v>
      </c>
      <c r="K21" s="40"/>
      <c r="L21" s="16"/>
      <c r="M21" s="79"/>
      <c r="N21" s="80"/>
      <c r="P21" s="25">
        <v>6</v>
      </c>
      <c r="Q21" s="6" t="s">
        <v>106</v>
      </c>
      <c r="R21" s="5">
        <v>6</v>
      </c>
      <c r="S21" s="30">
        <v>0.8571428571428571</v>
      </c>
      <c r="T21" s="6" t="s">
        <v>446</v>
      </c>
      <c r="U21" s="26">
        <v>6</v>
      </c>
      <c r="V21" s="33" t="s">
        <v>397</v>
      </c>
      <c r="W21" s="31">
        <v>0</v>
      </c>
      <c r="X21" s="32">
        <v>0</v>
      </c>
      <c r="Y21" s="66" t="s">
        <v>293</v>
      </c>
    </row>
    <row r="22" spans="1:25" s="6" customFormat="1" ht="22.5" customHeight="1" x14ac:dyDescent="0.25">
      <c r="A22" s="12" t="s">
        <v>5</v>
      </c>
      <c r="B22" s="13" t="s">
        <v>55</v>
      </c>
      <c r="C22" s="50">
        <f t="shared" si="4"/>
        <v>10</v>
      </c>
      <c r="D22" s="46">
        <f t="shared" si="5"/>
        <v>1.6666666666666667</v>
      </c>
      <c r="E22" s="6" t="s">
        <v>544</v>
      </c>
      <c r="F22" s="12" t="s">
        <v>5</v>
      </c>
      <c r="G22" s="13" t="s">
        <v>396</v>
      </c>
      <c r="H22" s="23">
        <f t="shared" si="6"/>
        <v>4</v>
      </c>
      <c r="I22" s="46">
        <f t="shared" si="7"/>
        <v>0.8</v>
      </c>
      <c r="K22" s="40"/>
      <c r="L22" s="16"/>
      <c r="M22" s="79"/>
      <c r="N22" s="80"/>
      <c r="P22" s="25">
        <v>7</v>
      </c>
      <c r="Q22" s="6" t="s">
        <v>42</v>
      </c>
      <c r="R22" s="5">
        <v>3</v>
      </c>
      <c r="S22" s="30">
        <v>0.42857142857142855</v>
      </c>
      <c r="T22" s="6" t="s">
        <v>446</v>
      </c>
      <c r="V22" s="16"/>
      <c r="W22" s="5"/>
      <c r="X22" s="29"/>
      <c r="Y22" s="66"/>
    </row>
    <row r="23" spans="1:25" s="6" customFormat="1" ht="22.5" customHeight="1" x14ac:dyDescent="0.25">
      <c r="A23" s="12" t="s">
        <v>6</v>
      </c>
      <c r="B23" s="13" t="s">
        <v>308</v>
      </c>
      <c r="C23" s="50">
        <f t="shared" si="4"/>
        <v>13</v>
      </c>
      <c r="D23" s="46">
        <f t="shared" si="5"/>
        <v>1.8571428571428572</v>
      </c>
      <c r="E23" s="6" t="s">
        <v>545</v>
      </c>
      <c r="F23" s="12" t="s">
        <v>6</v>
      </c>
      <c r="G23" s="13" t="s">
        <v>40</v>
      </c>
      <c r="H23" s="23">
        <f t="shared" si="6"/>
        <v>9</v>
      </c>
      <c r="I23" s="46">
        <f t="shared" si="7"/>
        <v>1.5</v>
      </c>
      <c r="K23" s="40"/>
      <c r="L23" s="16"/>
      <c r="M23" s="79"/>
      <c r="N23" s="80"/>
      <c r="P23" s="26">
        <v>8</v>
      </c>
      <c r="Q23" s="65" t="s">
        <v>134</v>
      </c>
      <c r="R23" s="31">
        <v>0</v>
      </c>
      <c r="S23" s="32">
        <v>0</v>
      </c>
      <c r="T23" s="6" t="s">
        <v>446</v>
      </c>
      <c r="U23" s="62">
        <v>1</v>
      </c>
      <c r="V23" s="64" t="s">
        <v>398</v>
      </c>
      <c r="W23" s="57">
        <v>16</v>
      </c>
      <c r="X23" s="63">
        <v>2.6666666666666665</v>
      </c>
      <c r="Y23" s="66" t="s">
        <v>436</v>
      </c>
    </row>
    <row r="24" spans="1:25" s="6" customFormat="1" ht="22.5" customHeight="1" x14ac:dyDescent="0.3">
      <c r="A24" s="12" t="s">
        <v>7</v>
      </c>
      <c r="B24" s="13" t="s">
        <v>246</v>
      </c>
      <c r="C24" s="50">
        <f t="shared" si="4"/>
        <v>12</v>
      </c>
      <c r="D24" s="46">
        <f t="shared" si="5"/>
        <v>1.7142857142857142</v>
      </c>
      <c r="E24" s="6" t="s">
        <v>545</v>
      </c>
      <c r="F24" s="12" t="s">
        <v>7</v>
      </c>
      <c r="G24" s="13" t="s">
        <v>38</v>
      </c>
      <c r="H24" s="23">
        <f t="shared" si="6"/>
        <v>4</v>
      </c>
      <c r="I24" s="46">
        <f t="shared" si="7"/>
        <v>0.66666666666666663</v>
      </c>
      <c r="K24" s="40"/>
      <c r="L24" s="16"/>
      <c r="M24" s="79"/>
      <c r="N24" s="80"/>
      <c r="P24" s="93"/>
      <c r="Q24" s="93"/>
      <c r="R24" s="94"/>
      <c r="S24" s="95"/>
      <c r="U24" s="25">
        <v>2</v>
      </c>
      <c r="V24" s="16" t="s">
        <v>399</v>
      </c>
      <c r="W24" s="5">
        <v>14</v>
      </c>
      <c r="X24" s="30">
        <v>2.3333333333333335</v>
      </c>
      <c r="Y24" s="66" t="s">
        <v>436</v>
      </c>
    </row>
    <row r="25" spans="1:25" s="6" customFormat="1" ht="22.5" customHeight="1" x14ac:dyDescent="0.25">
      <c r="A25" s="14" t="s">
        <v>8</v>
      </c>
      <c r="B25" s="15" t="s">
        <v>85</v>
      </c>
      <c r="C25" s="50">
        <f t="shared" si="4"/>
        <v>10</v>
      </c>
      <c r="D25" s="46">
        <f t="shared" si="5"/>
        <v>1.6666666666666667</v>
      </c>
      <c r="E25" s="6" t="s">
        <v>546</v>
      </c>
      <c r="F25" s="14" t="s">
        <v>8</v>
      </c>
      <c r="G25" s="15" t="s">
        <v>15</v>
      </c>
      <c r="H25" s="23">
        <f>VLOOKUP(G25,$V:$X,2,0)</f>
        <v>15</v>
      </c>
      <c r="I25" s="46">
        <f>VLOOKUP(G25,$V:$X,3,0)</f>
        <v>3</v>
      </c>
      <c r="K25" s="40"/>
      <c r="L25" s="16"/>
      <c r="M25" s="79"/>
      <c r="N25" s="80"/>
      <c r="P25" s="62">
        <v>1</v>
      </c>
      <c r="Q25" s="58" t="s">
        <v>241</v>
      </c>
      <c r="R25" s="57">
        <v>15</v>
      </c>
      <c r="S25" s="63">
        <v>2.5</v>
      </c>
      <c r="T25" s="6" t="s">
        <v>436</v>
      </c>
      <c r="U25" s="25">
        <v>3</v>
      </c>
      <c r="V25" s="16" t="s">
        <v>400</v>
      </c>
      <c r="W25" s="5">
        <v>13</v>
      </c>
      <c r="X25" s="30">
        <v>2.1666666666666665</v>
      </c>
      <c r="Y25" s="66" t="s">
        <v>436</v>
      </c>
    </row>
    <row r="26" spans="1:25" s="6" customFormat="1" ht="22.5" customHeight="1" x14ac:dyDescent="0.25">
      <c r="C26" s="70"/>
      <c r="D26" s="74"/>
      <c r="H26" s="70"/>
      <c r="I26" s="74"/>
      <c r="K26" s="40"/>
      <c r="L26" s="16"/>
      <c r="M26" s="70"/>
      <c r="N26" s="74"/>
      <c r="P26" s="25">
        <v>2</v>
      </c>
      <c r="Q26" s="6" t="s">
        <v>232</v>
      </c>
      <c r="R26" s="5">
        <v>13</v>
      </c>
      <c r="S26" s="30">
        <v>2.1666666666666665</v>
      </c>
      <c r="T26" s="6" t="s">
        <v>436</v>
      </c>
      <c r="U26" s="25">
        <v>4</v>
      </c>
      <c r="V26" s="16" t="s">
        <v>40</v>
      </c>
      <c r="W26" s="5">
        <v>9</v>
      </c>
      <c r="X26" s="30">
        <v>1.5</v>
      </c>
      <c r="Y26" s="66" t="s">
        <v>292</v>
      </c>
    </row>
    <row r="27" spans="1:25" s="6" customFormat="1" ht="22.5" customHeight="1" x14ac:dyDescent="0.25">
      <c r="A27" s="7" t="s">
        <v>0</v>
      </c>
      <c r="B27" s="8" t="s">
        <v>117</v>
      </c>
      <c r="C27" s="71"/>
      <c r="D27" s="75"/>
      <c r="F27" s="7" t="s">
        <v>0</v>
      </c>
      <c r="G27" s="8" t="s">
        <v>117</v>
      </c>
      <c r="H27" s="71"/>
      <c r="I27" s="75"/>
      <c r="K27" s="7" t="s">
        <v>0</v>
      </c>
      <c r="L27" s="8" t="s">
        <v>531</v>
      </c>
      <c r="M27" s="71"/>
      <c r="N27" s="75"/>
      <c r="P27" s="25">
        <v>3</v>
      </c>
      <c r="Q27" s="6" t="s">
        <v>12</v>
      </c>
      <c r="R27" s="5">
        <v>12</v>
      </c>
      <c r="S27" s="30">
        <v>2</v>
      </c>
      <c r="T27" s="6" t="s">
        <v>292</v>
      </c>
      <c r="U27" s="25">
        <v>5</v>
      </c>
      <c r="V27" s="16" t="s">
        <v>38</v>
      </c>
      <c r="W27" s="5">
        <v>4</v>
      </c>
      <c r="X27" s="30">
        <v>0.66666666666666663</v>
      </c>
      <c r="Y27" s="6" t="s">
        <v>292</v>
      </c>
    </row>
    <row r="28" spans="1:25" s="6" customFormat="1" ht="22.5" customHeight="1" x14ac:dyDescent="0.25">
      <c r="A28" s="198" t="s">
        <v>454</v>
      </c>
      <c r="B28" s="199"/>
      <c r="C28" s="22" t="s">
        <v>168</v>
      </c>
      <c r="D28" s="27" t="s">
        <v>167</v>
      </c>
      <c r="F28" s="198" t="s">
        <v>455</v>
      </c>
      <c r="G28" s="199"/>
      <c r="H28" s="22" t="s">
        <v>168</v>
      </c>
      <c r="I28" s="27" t="s">
        <v>167</v>
      </c>
      <c r="J28" s="9"/>
      <c r="K28" s="200" t="s">
        <v>456</v>
      </c>
      <c r="L28" s="201"/>
      <c r="M28" s="22" t="s">
        <v>168</v>
      </c>
      <c r="N28" s="27" t="s">
        <v>167</v>
      </c>
      <c r="P28" s="25">
        <v>4</v>
      </c>
      <c r="Q28" s="6" t="s">
        <v>55</v>
      </c>
      <c r="R28" s="5">
        <v>10</v>
      </c>
      <c r="S28" s="30">
        <v>1.6666666666666667</v>
      </c>
      <c r="T28" s="6" t="s">
        <v>292</v>
      </c>
      <c r="U28" s="25">
        <v>6</v>
      </c>
      <c r="V28" s="16" t="s">
        <v>248</v>
      </c>
      <c r="W28" s="5">
        <v>3</v>
      </c>
      <c r="X28" s="30">
        <v>0.5</v>
      </c>
      <c r="Y28" s="66" t="s">
        <v>292</v>
      </c>
    </row>
    <row r="29" spans="1:25" s="6" customFormat="1" ht="22.5" customHeight="1" x14ac:dyDescent="0.25">
      <c r="A29" s="191">
        <v>1</v>
      </c>
      <c r="B29" s="11" t="s">
        <v>100</v>
      </c>
      <c r="C29" s="50">
        <f t="shared" ref="C29:C36" si="8">VLOOKUP(B29,$Q:$S,2,0)</f>
        <v>5</v>
      </c>
      <c r="D29" s="46">
        <f t="shared" ref="D29:D36" si="9">VLOOKUP(B29,$Q:$S,3,0)</f>
        <v>0.83333333333333337</v>
      </c>
      <c r="E29" s="6" t="s">
        <v>542</v>
      </c>
      <c r="F29" s="191">
        <v>1</v>
      </c>
      <c r="G29" s="11" t="s">
        <v>388</v>
      </c>
      <c r="H29" s="50">
        <f t="shared" ref="H29:H36" si="10">VLOOKUP(G29,$Q:$S,2,0)</f>
        <v>9</v>
      </c>
      <c r="I29" s="46">
        <f t="shared" ref="I29:I36" si="11">VLOOKUP(G29,$Q:$S,3,0)</f>
        <v>1.2857142857142858</v>
      </c>
      <c r="J29" s="6" t="s">
        <v>543</v>
      </c>
      <c r="K29" s="191">
        <v>8</v>
      </c>
      <c r="L29" s="11" t="s">
        <v>108</v>
      </c>
      <c r="M29" s="50">
        <f t="shared" ref="M29:M36" si="12">VLOOKUP(L29,$Q:$S,2,0)</f>
        <v>9</v>
      </c>
      <c r="N29" s="46">
        <f t="shared" ref="N29:N36" si="13">VLOOKUP(L29,$Q:$S,3,0)</f>
        <v>1.5</v>
      </c>
      <c r="O29" s="6" t="s">
        <v>544</v>
      </c>
      <c r="P29" s="25">
        <v>5</v>
      </c>
      <c r="Q29" s="6" t="s">
        <v>108</v>
      </c>
      <c r="R29" s="5">
        <v>9</v>
      </c>
      <c r="S29" s="30">
        <v>1.5</v>
      </c>
      <c r="T29" s="6" t="s">
        <v>446</v>
      </c>
      <c r="U29" s="26">
        <v>7</v>
      </c>
      <c r="V29" s="33" t="s">
        <v>48</v>
      </c>
      <c r="W29" s="31">
        <v>1</v>
      </c>
      <c r="X29" s="32">
        <v>0.16666666666666666</v>
      </c>
      <c r="Y29" s="66" t="s">
        <v>293</v>
      </c>
    </row>
    <row r="30" spans="1:25" s="9" customFormat="1" ht="22.5" customHeight="1" x14ac:dyDescent="0.25">
      <c r="A30" s="192">
        <v>7</v>
      </c>
      <c r="B30" s="13" t="s">
        <v>386</v>
      </c>
      <c r="C30" s="50">
        <f t="shared" si="8"/>
        <v>4</v>
      </c>
      <c r="D30" s="46">
        <f t="shared" si="9"/>
        <v>0.66666666666666663</v>
      </c>
      <c r="E30" s="6" t="s">
        <v>542</v>
      </c>
      <c r="F30" s="192">
        <v>8</v>
      </c>
      <c r="G30" s="13" t="s">
        <v>106</v>
      </c>
      <c r="H30" s="50">
        <f t="shared" si="10"/>
        <v>6</v>
      </c>
      <c r="I30" s="46">
        <f t="shared" si="11"/>
        <v>0.8571428571428571</v>
      </c>
      <c r="J30" s="6" t="s">
        <v>543</v>
      </c>
      <c r="K30" s="192">
        <v>1</v>
      </c>
      <c r="L30" s="13" t="s">
        <v>69</v>
      </c>
      <c r="M30" s="50">
        <f t="shared" si="12"/>
        <v>9</v>
      </c>
      <c r="N30" s="46">
        <f t="shared" si="13"/>
        <v>1.2857142857142858</v>
      </c>
      <c r="O30" s="9" t="s">
        <v>545</v>
      </c>
      <c r="P30" s="25">
        <v>6</v>
      </c>
      <c r="Q30" s="6" t="s">
        <v>144</v>
      </c>
      <c r="R30" s="5">
        <v>3</v>
      </c>
      <c r="S30" s="30">
        <v>0.5</v>
      </c>
      <c r="T30" s="6" t="s">
        <v>446</v>
      </c>
      <c r="U30" s="6" t="s">
        <v>402</v>
      </c>
      <c r="V30" s="6" t="s">
        <v>403</v>
      </c>
      <c r="W30" s="5" t="s">
        <v>404</v>
      </c>
      <c r="X30" s="29" t="s">
        <v>405</v>
      </c>
      <c r="Y30" s="66"/>
    </row>
    <row r="31" spans="1:25" s="6" customFormat="1" ht="22.5" customHeight="1" x14ac:dyDescent="0.25">
      <c r="A31" s="192">
        <v>3</v>
      </c>
      <c r="B31" s="13" t="s">
        <v>387</v>
      </c>
      <c r="C31" s="50">
        <f t="shared" si="8"/>
        <v>0</v>
      </c>
      <c r="D31" s="46">
        <f t="shared" si="9"/>
        <v>0</v>
      </c>
      <c r="E31" s="6" t="s">
        <v>542</v>
      </c>
      <c r="F31" s="192">
        <v>4</v>
      </c>
      <c r="G31" s="13" t="s">
        <v>42</v>
      </c>
      <c r="H31" s="50">
        <f t="shared" si="10"/>
        <v>3</v>
      </c>
      <c r="I31" s="46">
        <f t="shared" si="11"/>
        <v>0.42857142857142855</v>
      </c>
      <c r="J31" s="6" t="s">
        <v>543</v>
      </c>
      <c r="K31" s="192">
        <v>4</v>
      </c>
      <c r="L31" s="13" t="s">
        <v>78</v>
      </c>
      <c r="M31" s="50">
        <f t="shared" si="12"/>
        <v>7</v>
      </c>
      <c r="N31" s="46">
        <f t="shared" si="13"/>
        <v>1</v>
      </c>
      <c r="O31" s="9" t="s">
        <v>545</v>
      </c>
      <c r="P31" s="26">
        <v>7</v>
      </c>
      <c r="Q31" s="65" t="s">
        <v>337</v>
      </c>
      <c r="R31" s="31">
        <v>0</v>
      </c>
      <c r="S31" s="32">
        <v>0</v>
      </c>
      <c r="T31" s="6" t="s">
        <v>446</v>
      </c>
      <c r="U31" s="62">
        <v>1</v>
      </c>
      <c r="V31" s="64" t="s">
        <v>251</v>
      </c>
      <c r="W31" s="57">
        <v>13</v>
      </c>
      <c r="X31" s="63">
        <v>2.1666666666666665</v>
      </c>
      <c r="Y31" s="66" t="s">
        <v>293</v>
      </c>
    </row>
    <row r="32" spans="1:25" s="6" customFormat="1" ht="22.5" customHeight="1" x14ac:dyDescent="0.25">
      <c r="A32" s="192">
        <v>5</v>
      </c>
      <c r="B32" s="13" t="s">
        <v>134</v>
      </c>
      <c r="C32" s="50">
        <f t="shared" si="8"/>
        <v>0</v>
      </c>
      <c r="D32" s="46">
        <f t="shared" si="9"/>
        <v>0</v>
      </c>
      <c r="E32" s="6" t="s">
        <v>543</v>
      </c>
      <c r="F32" s="192">
        <v>2</v>
      </c>
      <c r="G32" s="13" t="s">
        <v>337</v>
      </c>
      <c r="H32" s="50">
        <f t="shared" si="10"/>
        <v>0</v>
      </c>
      <c r="I32" s="46">
        <f t="shared" si="11"/>
        <v>0</v>
      </c>
      <c r="J32" s="6" t="s">
        <v>544</v>
      </c>
      <c r="K32" s="192">
        <v>5</v>
      </c>
      <c r="L32" s="13" t="s">
        <v>89</v>
      </c>
      <c r="M32" s="50">
        <f t="shared" si="12"/>
        <v>3</v>
      </c>
      <c r="N32" s="46">
        <f t="shared" si="13"/>
        <v>0.42857142857142855</v>
      </c>
      <c r="O32" s="9" t="s">
        <v>545</v>
      </c>
      <c r="R32" s="5"/>
      <c r="S32" s="29"/>
      <c r="U32" s="25">
        <v>2</v>
      </c>
      <c r="V32" s="16" t="s">
        <v>259</v>
      </c>
      <c r="W32" s="5">
        <v>10</v>
      </c>
      <c r="X32" s="30">
        <v>1.6666666666666667</v>
      </c>
      <c r="Y32" s="66" t="s">
        <v>293</v>
      </c>
    </row>
    <row r="33" spans="1:25" s="6" customFormat="1" ht="22.5" customHeight="1" x14ac:dyDescent="0.25">
      <c r="A33" s="192">
        <v>4</v>
      </c>
      <c r="B33" s="13" t="s">
        <v>95</v>
      </c>
      <c r="C33" s="50">
        <f t="shared" si="8"/>
        <v>15</v>
      </c>
      <c r="D33" s="46">
        <f t="shared" si="9"/>
        <v>2.5</v>
      </c>
      <c r="E33" s="6" t="s">
        <v>554</v>
      </c>
      <c r="F33" s="192">
        <v>3</v>
      </c>
      <c r="G33" s="13" t="s">
        <v>155</v>
      </c>
      <c r="H33" s="50">
        <f t="shared" si="10"/>
        <v>8</v>
      </c>
      <c r="I33" s="46">
        <f t="shared" si="11"/>
        <v>1.3333333333333333</v>
      </c>
      <c r="J33" s="6" t="s">
        <v>545</v>
      </c>
      <c r="K33" s="192">
        <v>2</v>
      </c>
      <c r="L33" s="13" t="s">
        <v>66</v>
      </c>
      <c r="M33" s="50">
        <f t="shared" si="12"/>
        <v>18</v>
      </c>
      <c r="N33" s="46">
        <f t="shared" si="13"/>
        <v>2.5714285714285716</v>
      </c>
      <c r="O33" s="6" t="s">
        <v>558</v>
      </c>
      <c r="P33" s="154">
        <v>1</v>
      </c>
      <c r="Q33" s="155" t="s">
        <v>243</v>
      </c>
      <c r="R33" s="156">
        <v>21</v>
      </c>
      <c r="S33" s="157">
        <v>3</v>
      </c>
      <c r="U33" s="25">
        <v>3</v>
      </c>
      <c r="V33" s="16" t="s">
        <v>413</v>
      </c>
      <c r="W33" s="5">
        <v>9</v>
      </c>
      <c r="X33" s="30">
        <v>1.5</v>
      </c>
      <c r="Y33" s="66" t="s">
        <v>293</v>
      </c>
    </row>
    <row r="34" spans="1:25" s="6" customFormat="1" ht="22.5" customHeight="1" x14ac:dyDescent="0.25">
      <c r="A34" s="192">
        <v>2</v>
      </c>
      <c r="B34" s="13" t="s">
        <v>103</v>
      </c>
      <c r="C34" s="50">
        <f t="shared" si="8"/>
        <v>19</v>
      </c>
      <c r="D34" s="46">
        <f t="shared" si="9"/>
        <v>2.7142857142857144</v>
      </c>
      <c r="E34" s="6" t="s">
        <v>555</v>
      </c>
      <c r="F34" s="192">
        <v>5</v>
      </c>
      <c r="G34" s="13" t="s">
        <v>135</v>
      </c>
      <c r="H34" s="50">
        <f t="shared" si="10"/>
        <v>18</v>
      </c>
      <c r="I34" s="46">
        <f t="shared" si="11"/>
        <v>3</v>
      </c>
      <c r="J34" s="6" t="s">
        <v>554</v>
      </c>
      <c r="K34" s="192">
        <v>3</v>
      </c>
      <c r="L34" s="13" t="s">
        <v>90</v>
      </c>
      <c r="M34" s="50">
        <f t="shared" si="12"/>
        <v>16</v>
      </c>
      <c r="N34" s="46">
        <f t="shared" si="13"/>
        <v>2.2857142857142856</v>
      </c>
      <c r="O34" s="6" t="s">
        <v>558</v>
      </c>
      <c r="P34" s="25">
        <v>2</v>
      </c>
      <c r="Q34" s="6" t="s">
        <v>72</v>
      </c>
      <c r="R34" s="5">
        <v>18</v>
      </c>
      <c r="S34" s="30">
        <v>2.5714285714285716</v>
      </c>
      <c r="T34" s="6" t="s">
        <v>436</v>
      </c>
      <c r="U34" s="26">
        <v>4</v>
      </c>
      <c r="V34" s="33" t="s">
        <v>252</v>
      </c>
      <c r="W34" s="31">
        <v>3</v>
      </c>
      <c r="X34" s="32">
        <v>0.5</v>
      </c>
      <c r="Y34" s="66" t="s">
        <v>293</v>
      </c>
    </row>
    <row r="35" spans="1:25" s="6" customFormat="1" ht="22.5" customHeight="1" x14ac:dyDescent="0.25">
      <c r="A35" s="192">
        <v>8</v>
      </c>
      <c r="B35" s="13" t="s">
        <v>408</v>
      </c>
      <c r="C35" s="50">
        <f t="shared" si="8"/>
        <v>17</v>
      </c>
      <c r="D35" s="46">
        <f t="shared" si="9"/>
        <v>2.4285714285714284</v>
      </c>
      <c r="E35" s="6" t="s">
        <v>555</v>
      </c>
      <c r="F35" s="192">
        <v>6</v>
      </c>
      <c r="G35" s="13" t="s">
        <v>77</v>
      </c>
      <c r="H35" s="50">
        <f t="shared" si="10"/>
        <v>13</v>
      </c>
      <c r="I35" s="46">
        <f t="shared" si="11"/>
        <v>2.1666666666666665</v>
      </c>
      <c r="J35" s="6" t="s">
        <v>556</v>
      </c>
      <c r="K35" s="192">
        <v>7</v>
      </c>
      <c r="L35" s="13" t="s">
        <v>147</v>
      </c>
      <c r="M35" s="50">
        <f t="shared" si="12"/>
        <v>15</v>
      </c>
      <c r="N35" s="46">
        <f t="shared" si="13"/>
        <v>2.1428571428571428</v>
      </c>
      <c r="O35" s="6" t="s">
        <v>558</v>
      </c>
      <c r="P35" s="25">
        <v>3</v>
      </c>
      <c r="Q35" s="6" t="s">
        <v>308</v>
      </c>
      <c r="R35" s="5">
        <v>13</v>
      </c>
      <c r="S35" s="30">
        <v>1.8571428571428572</v>
      </c>
      <c r="T35" s="6" t="s">
        <v>292</v>
      </c>
      <c r="V35" s="16"/>
      <c r="W35" s="5"/>
      <c r="X35" s="29"/>
    </row>
    <row r="36" spans="1:25" s="6" customFormat="1" ht="22.5" customHeight="1" x14ac:dyDescent="0.25">
      <c r="A36" s="193">
        <v>6</v>
      </c>
      <c r="B36" s="15" t="s">
        <v>235</v>
      </c>
      <c r="C36" s="50">
        <f t="shared" si="8"/>
        <v>15</v>
      </c>
      <c r="D36" s="46">
        <f t="shared" si="9"/>
        <v>2.1428571428571428</v>
      </c>
      <c r="E36" s="6" t="s">
        <v>555</v>
      </c>
      <c r="F36" s="193">
        <v>7</v>
      </c>
      <c r="G36" s="15" t="s">
        <v>93</v>
      </c>
      <c r="H36" s="50">
        <f t="shared" si="10"/>
        <v>19</v>
      </c>
      <c r="I36" s="46">
        <f t="shared" si="11"/>
        <v>2.7142857142857144</v>
      </c>
      <c r="J36" s="6" t="s">
        <v>558</v>
      </c>
      <c r="K36" s="193">
        <v>6</v>
      </c>
      <c r="L36" s="15" t="s">
        <v>73</v>
      </c>
      <c r="M36" s="50">
        <f t="shared" si="12"/>
        <v>13</v>
      </c>
      <c r="N36" s="46">
        <f t="shared" si="13"/>
        <v>2.1666666666666665</v>
      </c>
      <c r="O36" s="6" t="s">
        <v>559</v>
      </c>
      <c r="P36" s="25">
        <v>4</v>
      </c>
      <c r="Q36" s="6" t="s">
        <v>246</v>
      </c>
      <c r="R36" s="5">
        <v>12</v>
      </c>
      <c r="S36" s="30">
        <v>1.7142857142857142</v>
      </c>
      <c r="T36" s="6" t="s">
        <v>292</v>
      </c>
      <c r="U36" s="62">
        <v>1</v>
      </c>
      <c r="V36" s="64" t="s">
        <v>247</v>
      </c>
      <c r="W36" s="57">
        <v>12</v>
      </c>
      <c r="X36" s="63">
        <v>2.4</v>
      </c>
      <c r="Y36" s="66" t="s">
        <v>293</v>
      </c>
    </row>
    <row r="37" spans="1:25" s="6" customFormat="1" ht="22.5" customHeight="1" x14ac:dyDescent="0.25">
      <c r="C37" s="70"/>
      <c r="D37" s="74"/>
      <c r="G37" s="16"/>
      <c r="H37" s="70"/>
      <c r="I37" s="74"/>
      <c r="K37" s="40"/>
      <c r="L37" s="16"/>
      <c r="M37" s="50"/>
      <c r="N37" s="24"/>
      <c r="P37" s="25">
        <v>5</v>
      </c>
      <c r="Q37" s="6" t="s">
        <v>69</v>
      </c>
      <c r="R37" s="5">
        <v>9</v>
      </c>
      <c r="S37" s="30">
        <v>1.2857142857142858</v>
      </c>
      <c r="T37" s="6" t="s">
        <v>446</v>
      </c>
      <c r="U37" s="25">
        <v>2</v>
      </c>
      <c r="V37" s="16" t="s">
        <v>414</v>
      </c>
      <c r="W37" s="5">
        <v>12</v>
      </c>
      <c r="X37" s="30">
        <v>2.4</v>
      </c>
      <c r="Y37" s="66" t="s">
        <v>293</v>
      </c>
    </row>
    <row r="38" spans="1:25" s="6" customFormat="1" ht="22.5" customHeight="1" x14ac:dyDescent="0.25">
      <c r="C38" s="70"/>
      <c r="D38" s="74"/>
      <c r="G38" s="16"/>
      <c r="H38" s="70"/>
      <c r="I38" s="74"/>
      <c r="K38" s="40"/>
      <c r="L38" s="16"/>
      <c r="M38" s="50"/>
      <c r="N38" s="24"/>
      <c r="P38" s="25">
        <v>6</v>
      </c>
      <c r="Q38" s="6" t="s">
        <v>78</v>
      </c>
      <c r="R38" s="5">
        <v>7</v>
      </c>
      <c r="S38" s="30">
        <v>1</v>
      </c>
      <c r="T38" s="6" t="s">
        <v>446</v>
      </c>
      <c r="U38" s="25">
        <v>3</v>
      </c>
      <c r="V38" s="16" t="s">
        <v>415</v>
      </c>
      <c r="W38" s="5">
        <v>7</v>
      </c>
      <c r="X38" s="30">
        <v>1.4</v>
      </c>
      <c r="Y38" s="66" t="s">
        <v>293</v>
      </c>
    </row>
    <row r="39" spans="1:25" s="6" customFormat="1" ht="22.5" customHeight="1" x14ac:dyDescent="0.25">
      <c r="A39" s="7" t="s">
        <v>0</v>
      </c>
      <c r="B39" s="8" t="s">
        <v>531</v>
      </c>
      <c r="C39" s="71"/>
      <c r="D39" s="75"/>
      <c r="F39" s="7" t="s">
        <v>0</v>
      </c>
      <c r="G39" s="8" t="s">
        <v>117</v>
      </c>
      <c r="H39" s="71"/>
      <c r="I39" s="75"/>
      <c r="K39" s="7" t="s">
        <v>0</v>
      </c>
      <c r="L39" s="8" t="s">
        <v>117</v>
      </c>
      <c r="M39" s="71"/>
      <c r="N39" s="75"/>
      <c r="P39" s="25">
        <v>7</v>
      </c>
      <c r="Q39" s="6" t="s">
        <v>89</v>
      </c>
      <c r="R39" s="5">
        <v>3</v>
      </c>
      <c r="S39" s="30">
        <v>0.42857142857142855</v>
      </c>
      <c r="T39" s="6" t="s">
        <v>446</v>
      </c>
      <c r="U39" s="25">
        <v>4</v>
      </c>
      <c r="V39" s="16" t="s">
        <v>416</v>
      </c>
      <c r="W39" s="5">
        <v>6</v>
      </c>
      <c r="X39" s="30">
        <v>1.2</v>
      </c>
      <c r="Y39" s="66" t="s">
        <v>293</v>
      </c>
    </row>
    <row r="40" spans="1:25" s="6" customFormat="1" ht="22.5" customHeight="1" x14ac:dyDescent="0.25">
      <c r="A40" s="198" t="s">
        <v>457</v>
      </c>
      <c r="B40" s="199"/>
      <c r="C40" s="22" t="s">
        <v>168</v>
      </c>
      <c r="D40" s="27" t="s">
        <v>167</v>
      </c>
      <c r="F40" s="198" t="s">
        <v>458</v>
      </c>
      <c r="G40" s="199"/>
      <c r="H40" s="22" t="s">
        <v>168</v>
      </c>
      <c r="I40" s="27" t="s">
        <v>167</v>
      </c>
      <c r="J40" s="9"/>
      <c r="K40" s="198" t="s">
        <v>459</v>
      </c>
      <c r="L40" s="199"/>
      <c r="M40" s="22" t="s">
        <v>168</v>
      </c>
      <c r="N40" s="27" t="s">
        <v>167</v>
      </c>
      <c r="P40" s="104">
        <v>8</v>
      </c>
      <c r="Q40" s="153" t="s">
        <v>58</v>
      </c>
      <c r="R40" s="151">
        <v>0</v>
      </c>
      <c r="S40" s="152">
        <v>0</v>
      </c>
      <c r="U40" s="25">
        <v>5</v>
      </c>
      <c r="V40" s="16" t="s">
        <v>417</v>
      </c>
      <c r="W40" s="5">
        <v>4</v>
      </c>
      <c r="X40" s="30">
        <v>0.8</v>
      </c>
      <c r="Y40" s="66" t="s">
        <v>452</v>
      </c>
    </row>
    <row r="41" spans="1:25" s="6" customFormat="1" ht="22.5" customHeight="1" x14ac:dyDescent="0.25">
      <c r="A41" s="191">
        <v>7</v>
      </c>
      <c r="B41" s="11" t="s">
        <v>144</v>
      </c>
      <c r="C41" s="50">
        <f t="shared" ref="C41:C48" si="14">VLOOKUP(B41,$Q:$S,2,0)</f>
        <v>3</v>
      </c>
      <c r="D41" s="46">
        <f t="shared" ref="D41:D48" si="15">VLOOKUP(B41,$Q:$S,3,0)</f>
        <v>0.5</v>
      </c>
      <c r="E41" s="6" t="s">
        <v>544</v>
      </c>
      <c r="F41" s="10">
        <v>7</v>
      </c>
      <c r="G41" s="11" t="s">
        <v>406</v>
      </c>
      <c r="H41" s="50">
        <f>VLOOKUP(G41,$Q:$S,2,0)</f>
        <v>12</v>
      </c>
      <c r="I41" s="46">
        <f t="shared" ref="I41:I48" si="16">VLOOKUP(G41,$Q:$S,3,0)</f>
        <v>2</v>
      </c>
      <c r="J41" s="6" t="s">
        <v>554</v>
      </c>
      <c r="K41" s="10">
        <v>2</v>
      </c>
      <c r="L41" s="11" t="s">
        <v>162</v>
      </c>
      <c r="M41" s="50">
        <f>VLOOKUP(L41,$Q:$S,2,0)</f>
        <v>12</v>
      </c>
      <c r="N41" s="46">
        <f t="shared" ref="N41:N48" si="17">VLOOKUP(L41,$Q:$S,3,0)</f>
        <v>2</v>
      </c>
      <c r="O41" s="6" t="s">
        <v>556</v>
      </c>
      <c r="R41" s="5"/>
      <c r="S41" s="29"/>
      <c r="U41" s="26">
        <v>6</v>
      </c>
      <c r="V41" s="33" t="s">
        <v>418</v>
      </c>
      <c r="W41" s="31">
        <v>3</v>
      </c>
      <c r="X41" s="32">
        <v>0.6</v>
      </c>
      <c r="Y41" s="66" t="s">
        <v>293</v>
      </c>
    </row>
    <row r="42" spans="1:25" s="9" customFormat="1" ht="22.5" customHeight="1" x14ac:dyDescent="0.25">
      <c r="A42" s="192">
        <v>4</v>
      </c>
      <c r="B42" s="13" t="s">
        <v>389</v>
      </c>
      <c r="C42" s="50">
        <f t="shared" si="14"/>
        <v>7</v>
      </c>
      <c r="D42" s="46">
        <f t="shared" si="15"/>
        <v>1.1666666666666667</v>
      </c>
      <c r="E42" s="6" t="s">
        <v>546</v>
      </c>
      <c r="F42" s="12">
        <v>6</v>
      </c>
      <c r="G42" s="13" t="s">
        <v>61</v>
      </c>
      <c r="H42" s="50">
        <f t="shared" ref="H42:H48" si="18">VLOOKUP(G42,$Q:$S,2,0)</f>
        <v>6</v>
      </c>
      <c r="I42" s="46">
        <f t="shared" si="16"/>
        <v>1</v>
      </c>
      <c r="J42" s="6" t="s">
        <v>554</v>
      </c>
      <c r="K42" s="12"/>
      <c r="L42" s="13" t="s">
        <v>80</v>
      </c>
      <c r="M42" s="50">
        <f t="shared" ref="M42:M48" si="19">VLOOKUP(L42,$Q:$S,2,0)</f>
        <v>10</v>
      </c>
      <c r="N42" s="46">
        <f t="shared" si="17"/>
        <v>1.6666666666666667</v>
      </c>
      <c r="O42" s="6" t="s">
        <v>556</v>
      </c>
      <c r="P42" s="62">
        <v>1</v>
      </c>
      <c r="Q42" s="58" t="s">
        <v>91</v>
      </c>
      <c r="R42" s="57">
        <v>18</v>
      </c>
      <c r="S42" s="63">
        <v>3</v>
      </c>
      <c r="T42" s="6" t="s">
        <v>436</v>
      </c>
      <c r="U42" s="6"/>
      <c r="V42" s="16"/>
      <c r="W42" s="5"/>
      <c r="X42" s="29"/>
      <c r="Y42" s="66"/>
    </row>
    <row r="43" spans="1:25" s="6" customFormat="1" ht="22.5" customHeight="1" x14ac:dyDescent="0.25">
      <c r="A43" s="192">
        <v>6</v>
      </c>
      <c r="B43" s="13" t="s">
        <v>88</v>
      </c>
      <c r="C43" s="50">
        <f t="shared" si="14"/>
        <v>5</v>
      </c>
      <c r="D43" s="46">
        <f t="shared" si="15"/>
        <v>0.83333333333333337</v>
      </c>
      <c r="E43" s="6" t="s">
        <v>546</v>
      </c>
      <c r="F43" s="12">
        <v>3</v>
      </c>
      <c r="G43" s="13" t="s">
        <v>81</v>
      </c>
      <c r="H43" s="50">
        <f t="shared" si="18"/>
        <v>4</v>
      </c>
      <c r="I43" s="46">
        <f t="shared" si="16"/>
        <v>0.66666666666666663</v>
      </c>
      <c r="J43" s="6" t="s">
        <v>554</v>
      </c>
      <c r="K43" s="194" t="s">
        <v>562</v>
      </c>
      <c r="L43" s="13" t="s">
        <v>128</v>
      </c>
      <c r="M43" s="50">
        <f t="shared" si="19"/>
        <v>1</v>
      </c>
      <c r="N43" s="46">
        <f t="shared" si="17"/>
        <v>0.16666666666666666</v>
      </c>
      <c r="O43" s="6" t="s">
        <v>556</v>
      </c>
      <c r="P43" s="25">
        <v>2</v>
      </c>
      <c r="Q43" s="6" t="s">
        <v>242</v>
      </c>
      <c r="R43" s="5">
        <v>10</v>
      </c>
      <c r="S43" s="30">
        <v>1.6666666666666667</v>
      </c>
      <c r="T43" s="6" t="s">
        <v>436</v>
      </c>
      <c r="U43" s="62">
        <v>1</v>
      </c>
      <c r="V43" s="64" t="s">
        <v>15</v>
      </c>
      <c r="W43" s="57">
        <v>15</v>
      </c>
      <c r="X43" s="63">
        <v>3</v>
      </c>
      <c r="Y43" s="66" t="s">
        <v>293</v>
      </c>
    </row>
    <row r="44" spans="1:25" s="6" customFormat="1" ht="22.5" customHeight="1" x14ac:dyDescent="0.25">
      <c r="A44" s="192">
        <v>1</v>
      </c>
      <c r="B44" s="17" t="s">
        <v>113</v>
      </c>
      <c r="C44" s="50">
        <f t="shared" si="14"/>
        <v>1</v>
      </c>
      <c r="D44" s="46">
        <f t="shared" si="15"/>
        <v>0.16666666666666666</v>
      </c>
      <c r="E44" s="6" t="s">
        <v>546</v>
      </c>
      <c r="F44" s="12">
        <v>1</v>
      </c>
      <c r="G44" s="17" t="s">
        <v>102</v>
      </c>
      <c r="H44" s="50">
        <f t="shared" si="18"/>
        <v>4</v>
      </c>
      <c r="I44" s="46">
        <f t="shared" si="16"/>
        <v>0.66666666666666663</v>
      </c>
      <c r="J44" s="6" t="s">
        <v>554</v>
      </c>
      <c r="K44" s="12">
        <v>8</v>
      </c>
      <c r="L44" s="17" t="s">
        <v>148</v>
      </c>
      <c r="M44" s="50">
        <f t="shared" si="19"/>
        <v>8</v>
      </c>
      <c r="N44" s="46">
        <f t="shared" si="17"/>
        <v>1.1428571428571428</v>
      </c>
      <c r="O44" s="6" t="s">
        <v>558</v>
      </c>
      <c r="P44" s="25">
        <v>3</v>
      </c>
      <c r="Q44" s="6" t="s">
        <v>85</v>
      </c>
      <c r="R44" s="5">
        <v>10</v>
      </c>
      <c r="S44" s="30">
        <v>1.6666666666666667</v>
      </c>
      <c r="T44" s="6" t="s">
        <v>292</v>
      </c>
      <c r="U44" s="25">
        <v>2</v>
      </c>
      <c r="V44" s="16" t="s">
        <v>419</v>
      </c>
      <c r="W44" s="5">
        <v>9</v>
      </c>
      <c r="X44" s="30">
        <v>1.8</v>
      </c>
      <c r="Y44" s="66" t="s">
        <v>293</v>
      </c>
    </row>
    <row r="45" spans="1:25" s="6" customFormat="1" ht="22.5" customHeight="1" x14ac:dyDescent="0.25">
      <c r="A45" s="192">
        <v>3</v>
      </c>
      <c r="B45" s="13" t="s">
        <v>75</v>
      </c>
      <c r="C45" s="50">
        <f t="shared" si="14"/>
        <v>18</v>
      </c>
      <c r="D45" s="46">
        <f t="shared" si="15"/>
        <v>3</v>
      </c>
      <c r="E45" s="6" t="s">
        <v>556</v>
      </c>
      <c r="F45" s="12">
        <v>8</v>
      </c>
      <c r="G45" s="13" t="s">
        <v>107</v>
      </c>
      <c r="H45" s="50">
        <f t="shared" si="18"/>
        <v>10</v>
      </c>
      <c r="I45" s="46">
        <f t="shared" si="16"/>
        <v>1.4285714285714286</v>
      </c>
      <c r="J45" s="6" t="s">
        <v>555</v>
      </c>
      <c r="K45" s="12">
        <v>7</v>
      </c>
      <c r="L45" s="13" t="s">
        <v>234</v>
      </c>
      <c r="M45" s="50">
        <f t="shared" si="19"/>
        <v>8</v>
      </c>
      <c r="N45" s="46">
        <f t="shared" si="17"/>
        <v>1.1428571428571428</v>
      </c>
      <c r="O45" s="6" t="s">
        <v>558</v>
      </c>
      <c r="P45" s="25">
        <v>4</v>
      </c>
      <c r="Q45" s="6" t="s">
        <v>155</v>
      </c>
      <c r="R45" s="5">
        <v>8</v>
      </c>
      <c r="S45" s="30">
        <v>1.3333333333333333</v>
      </c>
      <c r="T45" s="6" t="s">
        <v>446</v>
      </c>
      <c r="U45" s="25">
        <v>3</v>
      </c>
      <c r="V45" s="16" t="s">
        <v>420</v>
      </c>
      <c r="W45" s="5">
        <v>8</v>
      </c>
      <c r="X45" s="30">
        <v>1.6</v>
      </c>
      <c r="Y45" s="66" t="s">
        <v>293</v>
      </c>
    </row>
    <row r="46" spans="1:25" s="6" customFormat="1" ht="22.5" customHeight="1" x14ac:dyDescent="0.25">
      <c r="A46" s="192">
        <v>5</v>
      </c>
      <c r="B46" s="13" t="s">
        <v>110</v>
      </c>
      <c r="C46" s="50">
        <f t="shared" si="14"/>
        <v>18</v>
      </c>
      <c r="D46" s="46">
        <f t="shared" si="15"/>
        <v>2.5714285714285716</v>
      </c>
      <c r="E46" s="6" t="s">
        <v>559</v>
      </c>
      <c r="F46" s="12">
        <v>5</v>
      </c>
      <c r="G46" s="13" t="s">
        <v>137</v>
      </c>
      <c r="H46" s="50">
        <f t="shared" si="18"/>
        <v>6</v>
      </c>
      <c r="I46" s="46">
        <f t="shared" si="16"/>
        <v>0.8571428571428571</v>
      </c>
      <c r="J46" s="6" t="s">
        <v>555</v>
      </c>
      <c r="K46" s="194" t="s">
        <v>561</v>
      </c>
      <c r="L46" s="13" t="s">
        <v>237</v>
      </c>
      <c r="M46" s="50">
        <f t="shared" si="19"/>
        <v>7</v>
      </c>
      <c r="N46" s="46">
        <f t="shared" si="17"/>
        <v>1</v>
      </c>
      <c r="O46" s="6" t="s">
        <v>558</v>
      </c>
      <c r="P46" s="25">
        <v>5</v>
      </c>
      <c r="Q46" s="6" t="s">
        <v>389</v>
      </c>
      <c r="R46" s="5">
        <v>7</v>
      </c>
      <c r="S46" s="30">
        <v>1.1666666666666667</v>
      </c>
      <c r="T46" s="6" t="s">
        <v>446</v>
      </c>
      <c r="U46" s="25">
        <v>4</v>
      </c>
      <c r="V46" s="16" t="s">
        <v>421</v>
      </c>
      <c r="W46" s="5">
        <v>5</v>
      </c>
      <c r="X46" s="30">
        <v>1</v>
      </c>
      <c r="Y46" s="66" t="s">
        <v>293</v>
      </c>
    </row>
    <row r="47" spans="1:25" s="6" customFormat="1" ht="22.5" customHeight="1" x14ac:dyDescent="0.25">
      <c r="A47" s="192">
        <v>2</v>
      </c>
      <c r="B47" s="13" t="s">
        <v>57</v>
      </c>
      <c r="C47" s="50">
        <f t="shared" si="14"/>
        <v>16</v>
      </c>
      <c r="D47" s="46">
        <f t="shared" si="15"/>
        <v>2.6666666666666665</v>
      </c>
      <c r="E47" s="6" t="s">
        <v>560</v>
      </c>
      <c r="F47" s="12">
        <v>4</v>
      </c>
      <c r="G47" s="13" t="s">
        <v>99</v>
      </c>
      <c r="H47" s="50">
        <f t="shared" si="18"/>
        <v>3</v>
      </c>
      <c r="I47" s="46">
        <f t="shared" si="16"/>
        <v>0.42857142857142855</v>
      </c>
      <c r="J47" s="6" t="s">
        <v>555</v>
      </c>
      <c r="K47" s="12">
        <v>4</v>
      </c>
      <c r="L47" s="13" t="s">
        <v>410</v>
      </c>
      <c r="M47" s="50">
        <f t="shared" si="19"/>
        <v>4</v>
      </c>
      <c r="N47" s="46">
        <f t="shared" si="17"/>
        <v>0.5714285714285714</v>
      </c>
      <c r="O47" s="6" t="s">
        <v>558</v>
      </c>
      <c r="P47" s="25">
        <v>6</v>
      </c>
      <c r="Q47" s="6" t="s">
        <v>88</v>
      </c>
      <c r="R47" s="5">
        <v>5</v>
      </c>
      <c r="S47" s="30">
        <v>0.83333333333333337</v>
      </c>
      <c r="T47" s="6" t="s">
        <v>446</v>
      </c>
      <c r="U47" s="25">
        <v>5</v>
      </c>
      <c r="V47" s="16" t="s">
        <v>26</v>
      </c>
      <c r="W47" s="5">
        <v>5</v>
      </c>
      <c r="X47" s="30">
        <v>1</v>
      </c>
      <c r="Y47" s="66" t="s">
        <v>293</v>
      </c>
    </row>
    <row r="48" spans="1:25" s="6" customFormat="1" ht="22.5" customHeight="1" x14ac:dyDescent="0.25">
      <c r="A48" s="193">
        <v>8</v>
      </c>
      <c r="B48" s="15" t="s">
        <v>449</v>
      </c>
      <c r="C48" s="50">
        <f t="shared" si="14"/>
        <v>21</v>
      </c>
      <c r="D48" s="46">
        <f t="shared" si="15"/>
        <v>3</v>
      </c>
      <c r="E48" s="6" t="s">
        <v>557</v>
      </c>
      <c r="F48" s="14">
        <v>2</v>
      </c>
      <c r="G48" s="15" t="s">
        <v>409</v>
      </c>
      <c r="H48" s="50">
        <f t="shared" si="18"/>
        <v>3</v>
      </c>
      <c r="I48" s="46">
        <f t="shared" si="16"/>
        <v>0.5</v>
      </c>
      <c r="J48" s="6" t="s">
        <v>556</v>
      </c>
      <c r="K48" s="195" t="s">
        <v>563</v>
      </c>
      <c r="L48" s="15" t="s">
        <v>109</v>
      </c>
      <c r="M48" s="50">
        <f t="shared" si="19"/>
        <v>4</v>
      </c>
      <c r="N48" s="46">
        <f t="shared" si="17"/>
        <v>0.5714285714285714</v>
      </c>
      <c r="O48" s="6" t="s">
        <v>558</v>
      </c>
      <c r="P48" s="26">
        <v>7</v>
      </c>
      <c r="Q48" s="65" t="s">
        <v>113</v>
      </c>
      <c r="R48" s="31">
        <v>1</v>
      </c>
      <c r="S48" s="32">
        <v>0.16666666666666666</v>
      </c>
      <c r="T48" s="6" t="s">
        <v>446</v>
      </c>
      <c r="U48" s="104">
        <v>6</v>
      </c>
      <c r="V48" s="107" t="s">
        <v>250</v>
      </c>
      <c r="W48" s="151">
        <v>0</v>
      </c>
      <c r="X48" s="152">
        <v>0</v>
      </c>
    </row>
    <row r="49" spans="1:25" s="6" customFormat="1" ht="22.5" customHeight="1" x14ac:dyDescent="0.25">
      <c r="C49" s="70"/>
      <c r="D49" s="74"/>
      <c r="H49" s="70"/>
      <c r="I49" s="74"/>
      <c r="K49" s="5"/>
      <c r="L49" s="16"/>
      <c r="M49" s="50"/>
      <c r="N49" s="46"/>
      <c r="P49" s="6" t="s">
        <v>402</v>
      </c>
      <c r="Q49" s="6" t="s">
        <v>403</v>
      </c>
      <c r="R49" s="5" t="s">
        <v>404</v>
      </c>
      <c r="S49" s="29" t="s">
        <v>405</v>
      </c>
      <c r="V49" s="16"/>
      <c r="W49" s="5"/>
      <c r="X49" s="29"/>
    </row>
    <row r="50" spans="1:25" s="6" customFormat="1" ht="22.5" customHeight="1" x14ac:dyDescent="0.25">
      <c r="A50" s="7" t="s">
        <v>0</v>
      </c>
      <c r="B50" s="8" t="s">
        <v>531</v>
      </c>
      <c r="C50" s="50"/>
      <c r="D50" s="24"/>
      <c r="F50" s="7" t="s">
        <v>0</v>
      </c>
      <c r="G50" s="8" t="s">
        <v>531</v>
      </c>
      <c r="H50" s="50"/>
      <c r="I50" s="24"/>
      <c r="J50" s="18"/>
      <c r="K50" s="7" t="s">
        <v>0</v>
      </c>
      <c r="L50" s="8" t="s">
        <v>116</v>
      </c>
      <c r="M50" s="71"/>
      <c r="N50" s="75"/>
      <c r="O50" s="6">
        <v>1</v>
      </c>
      <c r="P50" s="62">
        <v>1</v>
      </c>
      <c r="Q50" s="58" t="s">
        <v>135</v>
      </c>
      <c r="R50" s="57">
        <v>18</v>
      </c>
      <c r="S50" s="63">
        <v>3</v>
      </c>
      <c r="T50" s="6" t="s">
        <v>446</v>
      </c>
      <c r="U50" s="62">
        <v>1</v>
      </c>
      <c r="V50" s="64" t="s">
        <v>422</v>
      </c>
      <c r="W50" s="57">
        <v>13</v>
      </c>
      <c r="X50" s="63">
        <v>2.1666666666666665</v>
      </c>
      <c r="Y50" s="6" t="s">
        <v>452</v>
      </c>
    </row>
    <row r="51" spans="1:25" s="6" customFormat="1" ht="22.5" customHeight="1" x14ac:dyDescent="0.25">
      <c r="A51" s="202" t="s">
        <v>460</v>
      </c>
      <c r="B51" s="203"/>
      <c r="C51" s="22" t="s">
        <v>168</v>
      </c>
      <c r="D51" s="27" t="s">
        <v>167</v>
      </c>
      <c r="F51" s="198" t="s">
        <v>461</v>
      </c>
      <c r="G51" s="199"/>
      <c r="H51" s="22" t="s">
        <v>168</v>
      </c>
      <c r="I51" s="27" t="s">
        <v>167</v>
      </c>
      <c r="J51" s="18"/>
      <c r="K51" s="198" t="s">
        <v>462</v>
      </c>
      <c r="L51" s="199"/>
      <c r="M51" s="22" t="s">
        <v>168</v>
      </c>
      <c r="N51" s="27" t="s">
        <v>167</v>
      </c>
      <c r="P51" s="25">
        <v>2</v>
      </c>
      <c r="Q51" s="6" t="s">
        <v>95</v>
      </c>
      <c r="R51" s="5">
        <v>15</v>
      </c>
      <c r="S51" s="30">
        <v>2.5</v>
      </c>
      <c r="T51" s="6" t="s">
        <v>446</v>
      </c>
      <c r="U51" s="25">
        <v>2</v>
      </c>
      <c r="V51" s="16" t="s">
        <v>423</v>
      </c>
      <c r="W51" s="5">
        <v>11</v>
      </c>
      <c r="X51" s="30">
        <v>1.8333333333333333</v>
      </c>
      <c r="Y51" s="6" t="s">
        <v>452</v>
      </c>
    </row>
    <row r="52" spans="1:25" s="6" customFormat="1" ht="22.5" customHeight="1" x14ac:dyDescent="0.25">
      <c r="A52" s="177"/>
      <c r="B52" s="11" t="s">
        <v>104</v>
      </c>
      <c r="C52" s="50">
        <f>VLOOKUP(B52,$Q:$S,2,0)</f>
        <v>6</v>
      </c>
      <c r="D52" s="46">
        <f t="shared" ref="D52:D59" si="20">VLOOKUP(B52,$Q:$S,3,0)</f>
        <v>0.8571428571428571</v>
      </c>
      <c r="E52" s="6" t="s">
        <v>555</v>
      </c>
      <c r="F52" s="10" t="s">
        <v>1</v>
      </c>
      <c r="G52" s="11" t="s">
        <v>67</v>
      </c>
      <c r="H52" s="50">
        <f>VLOOKUP(G52,$Q:$S,2,0)</f>
        <v>13</v>
      </c>
      <c r="I52" s="46">
        <f t="shared" ref="I52:I59" si="21">VLOOKUP(G52,$Q:$S,3,0)</f>
        <v>1.8571428571428572</v>
      </c>
      <c r="J52" s="6" t="s">
        <v>559</v>
      </c>
      <c r="K52" s="10" t="s">
        <v>1</v>
      </c>
      <c r="L52" s="11" t="s">
        <v>48</v>
      </c>
      <c r="M52" s="23">
        <f t="shared" ref="M52:M59" si="22">VLOOKUP(L52,$V:$X,2,0)</f>
        <v>1</v>
      </c>
      <c r="N52" s="46">
        <f t="shared" ref="N52:N59" si="23">VLOOKUP(L52,$V:$X,3,0)</f>
        <v>0.16666666666666666</v>
      </c>
      <c r="P52" s="25">
        <v>3</v>
      </c>
      <c r="Q52" s="6" t="s">
        <v>406</v>
      </c>
      <c r="R52" s="5">
        <v>12</v>
      </c>
      <c r="S52" s="30">
        <v>2</v>
      </c>
      <c r="T52" s="6" t="s">
        <v>447</v>
      </c>
      <c r="U52" s="25">
        <v>3</v>
      </c>
      <c r="V52" s="16" t="s">
        <v>424</v>
      </c>
      <c r="W52" s="5">
        <v>9</v>
      </c>
      <c r="X52" s="30">
        <v>1.5</v>
      </c>
      <c r="Y52" s="6" t="s">
        <v>452</v>
      </c>
    </row>
    <row r="53" spans="1:25" s="6" customFormat="1" ht="22.5" customHeight="1" x14ac:dyDescent="0.25">
      <c r="A53" s="178"/>
      <c r="B53" s="13" t="s">
        <v>130</v>
      </c>
      <c r="C53" s="50">
        <f t="shared" ref="C53:C59" si="24">VLOOKUP(B53,$Q:$S,2,0)</f>
        <v>6</v>
      </c>
      <c r="D53" s="46">
        <f t="shared" si="20"/>
        <v>0.8571428571428571</v>
      </c>
      <c r="E53" s="6" t="s">
        <v>555</v>
      </c>
      <c r="F53" s="12" t="s">
        <v>2</v>
      </c>
      <c r="G53" s="13" t="s">
        <v>236</v>
      </c>
      <c r="H53" s="50">
        <f t="shared" ref="H53:H59" si="25">VLOOKUP(G53,$Q:$S,2,0)</f>
        <v>9</v>
      </c>
      <c r="I53" s="46">
        <f t="shared" si="21"/>
        <v>1.2857142857142858</v>
      </c>
      <c r="J53" s="6" t="s">
        <v>559</v>
      </c>
      <c r="K53" s="12" t="s">
        <v>2</v>
      </c>
      <c r="L53" s="13" t="s">
        <v>248</v>
      </c>
      <c r="M53" s="23">
        <f t="shared" si="22"/>
        <v>3</v>
      </c>
      <c r="N53" s="46">
        <f t="shared" si="23"/>
        <v>0.5</v>
      </c>
      <c r="P53" s="25">
        <v>4</v>
      </c>
      <c r="Q53" s="6" t="s">
        <v>61</v>
      </c>
      <c r="R53" s="5">
        <v>6</v>
      </c>
      <c r="S53" s="30">
        <v>1</v>
      </c>
      <c r="T53" s="6" t="s">
        <v>447</v>
      </c>
      <c r="U53" s="26">
        <v>4</v>
      </c>
      <c r="V53" s="33" t="s">
        <v>425</v>
      </c>
      <c r="W53" s="31">
        <v>1</v>
      </c>
      <c r="X53" s="32">
        <v>0.16666666666666666</v>
      </c>
      <c r="Y53" s="6" t="s">
        <v>452</v>
      </c>
    </row>
    <row r="54" spans="1:25" s="9" customFormat="1" ht="22.5" customHeight="1" x14ac:dyDescent="0.25">
      <c r="A54" s="178">
        <v>1</v>
      </c>
      <c r="B54" s="13" t="s">
        <v>96</v>
      </c>
      <c r="C54" s="50">
        <f t="shared" si="24"/>
        <v>4</v>
      </c>
      <c r="D54" s="46">
        <f t="shared" si="20"/>
        <v>0.66666666666666663</v>
      </c>
      <c r="E54" s="6" t="s">
        <v>556</v>
      </c>
      <c r="F54" s="12" t="s">
        <v>3</v>
      </c>
      <c r="G54" s="13" t="s">
        <v>111</v>
      </c>
      <c r="H54" s="50">
        <f t="shared" si="25"/>
        <v>10</v>
      </c>
      <c r="I54" s="46">
        <f t="shared" si="21"/>
        <v>1.6666666666666667</v>
      </c>
      <c r="J54" s="18" t="s">
        <v>560</v>
      </c>
      <c r="K54" s="12" t="s">
        <v>3</v>
      </c>
      <c r="L54" s="13" t="s">
        <v>251</v>
      </c>
      <c r="M54" s="23">
        <f t="shared" si="22"/>
        <v>13</v>
      </c>
      <c r="N54" s="46">
        <f t="shared" si="23"/>
        <v>2.1666666666666665</v>
      </c>
      <c r="P54" s="25">
        <v>5</v>
      </c>
      <c r="Q54" s="6" t="s">
        <v>81</v>
      </c>
      <c r="R54" s="5">
        <v>4</v>
      </c>
      <c r="S54" s="30">
        <v>0.66666666666666663</v>
      </c>
      <c r="T54" s="6" t="s">
        <v>447</v>
      </c>
      <c r="U54" s="6"/>
      <c r="V54" s="16"/>
      <c r="W54" s="5"/>
      <c r="X54" s="29"/>
      <c r="Y54" s="6"/>
    </row>
    <row r="55" spans="1:25" s="6" customFormat="1" ht="22.5" customHeight="1" x14ac:dyDescent="0.25">
      <c r="A55" s="178"/>
      <c r="B55" s="13" t="s">
        <v>105</v>
      </c>
      <c r="C55" s="50">
        <f t="shared" si="24"/>
        <v>9</v>
      </c>
      <c r="D55" s="46">
        <f t="shared" si="20"/>
        <v>1.2857142857142858</v>
      </c>
      <c r="E55" s="6" t="s">
        <v>559</v>
      </c>
      <c r="F55" s="12" t="s">
        <v>4</v>
      </c>
      <c r="G55" s="17" t="s">
        <v>163</v>
      </c>
      <c r="H55" s="50">
        <f t="shared" si="25"/>
        <v>7</v>
      </c>
      <c r="I55" s="46">
        <f t="shared" si="21"/>
        <v>1.1666666666666667</v>
      </c>
      <c r="J55" s="18" t="s">
        <v>560</v>
      </c>
      <c r="K55" s="12" t="s">
        <v>4</v>
      </c>
      <c r="L55" s="13" t="s">
        <v>259</v>
      </c>
      <c r="M55" s="23">
        <f t="shared" si="22"/>
        <v>10</v>
      </c>
      <c r="N55" s="46">
        <f t="shared" si="23"/>
        <v>1.6666666666666667</v>
      </c>
      <c r="P55" s="25">
        <v>6</v>
      </c>
      <c r="Q55" s="6" t="s">
        <v>102</v>
      </c>
      <c r="R55" s="5">
        <v>4</v>
      </c>
      <c r="S55" s="30">
        <v>0.66666666666666663</v>
      </c>
      <c r="T55" s="6" t="s">
        <v>447</v>
      </c>
      <c r="V55" s="16"/>
      <c r="W55" s="5"/>
      <c r="X55" s="29"/>
    </row>
    <row r="56" spans="1:25" s="6" customFormat="1" ht="22.5" customHeight="1" x14ac:dyDescent="0.25">
      <c r="A56" s="178">
        <v>4</v>
      </c>
      <c r="B56" s="13" t="s">
        <v>411</v>
      </c>
      <c r="C56" s="50">
        <f t="shared" si="24"/>
        <v>9</v>
      </c>
      <c r="D56" s="46">
        <f t="shared" si="20"/>
        <v>1.2857142857142858</v>
      </c>
      <c r="E56" s="6" t="s">
        <v>559</v>
      </c>
      <c r="F56" s="12" t="s">
        <v>5</v>
      </c>
      <c r="G56" s="13" t="s">
        <v>239</v>
      </c>
      <c r="H56" s="50">
        <f t="shared" si="25"/>
        <v>5</v>
      </c>
      <c r="I56" s="46">
        <f t="shared" si="21"/>
        <v>0.83333333333333337</v>
      </c>
      <c r="J56" s="18" t="s">
        <v>560</v>
      </c>
      <c r="K56" s="12" t="s">
        <v>5</v>
      </c>
      <c r="L56" s="13" t="s">
        <v>413</v>
      </c>
      <c r="M56" s="23">
        <f t="shared" si="22"/>
        <v>9</v>
      </c>
      <c r="N56" s="46">
        <f t="shared" si="23"/>
        <v>1.5</v>
      </c>
      <c r="P56" s="104">
        <v>7</v>
      </c>
      <c r="Q56" s="153" t="s">
        <v>407</v>
      </c>
      <c r="R56" s="151">
        <v>3</v>
      </c>
      <c r="S56" s="152">
        <v>0.5</v>
      </c>
      <c r="V56" s="16"/>
      <c r="W56" s="5"/>
      <c r="X56" s="29"/>
    </row>
    <row r="57" spans="1:25" s="6" customFormat="1" ht="22.5" customHeight="1" x14ac:dyDescent="0.25">
      <c r="A57" s="178"/>
      <c r="B57" s="13" t="s">
        <v>238</v>
      </c>
      <c r="C57" s="50">
        <f t="shared" si="24"/>
        <v>6</v>
      </c>
      <c r="D57" s="46">
        <f t="shared" si="20"/>
        <v>0.8571428571428571</v>
      </c>
      <c r="E57" s="6" t="s">
        <v>559</v>
      </c>
      <c r="F57" s="12" t="s">
        <v>6</v>
      </c>
      <c r="G57" s="13" t="s">
        <v>112</v>
      </c>
      <c r="H57" s="50">
        <f t="shared" si="25"/>
        <v>5</v>
      </c>
      <c r="I57" s="46">
        <f t="shared" si="21"/>
        <v>0.83333333333333337</v>
      </c>
      <c r="J57" s="18" t="s">
        <v>560</v>
      </c>
      <c r="K57" s="12" t="s">
        <v>6</v>
      </c>
      <c r="L57" s="13" t="s">
        <v>252</v>
      </c>
      <c r="M57" s="23">
        <f t="shared" si="22"/>
        <v>3</v>
      </c>
      <c r="N57" s="46">
        <f t="shared" si="23"/>
        <v>0.5</v>
      </c>
      <c r="R57" s="5"/>
      <c r="S57" s="29"/>
      <c r="V57" s="16"/>
      <c r="W57" s="5"/>
      <c r="X57" s="29"/>
    </row>
    <row r="58" spans="1:25" s="6" customFormat="1" ht="22.5" customHeight="1" x14ac:dyDescent="0.25">
      <c r="A58" s="178"/>
      <c r="B58" s="13" t="s">
        <v>412</v>
      </c>
      <c r="C58" s="50">
        <f t="shared" si="24"/>
        <v>0</v>
      </c>
      <c r="D58" s="46">
        <f t="shared" si="20"/>
        <v>0</v>
      </c>
      <c r="E58" s="6" t="s">
        <v>559</v>
      </c>
      <c r="F58" s="12" t="s">
        <v>7</v>
      </c>
      <c r="G58" s="13" t="s">
        <v>159</v>
      </c>
      <c r="H58" s="50">
        <f t="shared" si="25"/>
        <v>2</v>
      </c>
      <c r="I58" s="46">
        <f t="shared" si="21"/>
        <v>0.33333333333333331</v>
      </c>
      <c r="J58" s="18" t="s">
        <v>560</v>
      </c>
      <c r="K58" s="12" t="s">
        <v>7</v>
      </c>
      <c r="L58" s="13" t="s">
        <v>414</v>
      </c>
      <c r="M58" s="23">
        <f t="shared" si="22"/>
        <v>12</v>
      </c>
      <c r="N58" s="46">
        <f t="shared" si="23"/>
        <v>2.4</v>
      </c>
      <c r="O58" s="6">
        <v>2</v>
      </c>
      <c r="P58" s="62">
        <v>1</v>
      </c>
      <c r="Q58" s="58" t="s">
        <v>103</v>
      </c>
      <c r="R58" s="57">
        <v>19</v>
      </c>
      <c r="S58" s="63">
        <v>2.7142857142857144</v>
      </c>
      <c r="T58" s="6" t="s">
        <v>446</v>
      </c>
      <c r="V58" s="16"/>
      <c r="W58" s="5"/>
      <c r="X58" s="29"/>
    </row>
    <row r="59" spans="1:25" s="6" customFormat="1" ht="22.5" customHeight="1" x14ac:dyDescent="0.3">
      <c r="A59" s="179">
        <v>5</v>
      </c>
      <c r="B59" s="15" t="s">
        <v>126</v>
      </c>
      <c r="C59" s="50" t="str">
        <f t="shared" si="24"/>
        <v>neu</v>
      </c>
      <c r="D59" s="46" t="str">
        <f t="shared" si="20"/>
        <v>neu</v>
      </c>
      <c r="F59" s="14" t="s">
        <v>8</v>
      </c>
      <c r="G59" s="15" t="s">
        <v>450</v>
      </c>
      <c r="H59" s="50">
        <f t="shared" si="25"/>
        <v>18</v>
      </c>
      <c r="I59" s="46">
        <f t="shared" si="21"/>
        <v>2.57</v>
      </c>
      <c r="J59" s="4"/>
      <c r="K59" s="14" t="s">
        <v>8</v>
      </c>
      <c r="L59" s="15" t="s">
        <v>418</v>
      </c>
      <c r="M59" s="23">
        <f t="shared" si="22"/>
        <v>3</v>
      </c>
      <c r="N59" s="46">
        <f t="shared" si="23"/>
        <v>0.6</v>
      </c>
      <c r="P59" s="25">
        <v>2</v>
      </c>
      <c r="Q59" s="6" t="s">
        <v>408</v>
      </c>
      <c r="R59" s="5">
        <v>17</v>
      </c>
      <c r="S59" s="30">
        <v>2.4285714285714284</v>
      </c>
      <c r="T59" s="6" t="s">
        <v>446</v>
      </c>
      <c r="V59" s="16"/>
      <c r="W59" s="5"/>
      <c r="X59" s="29"/>
    </row>
    <row r="60" spans="1:25" s="6" customFormat="1" ht="22.5" customHeight="1" x14ac:dyDescent="0.3">
      <c r="A60" s="40"/>
      <c r="B60" s="16"/>
      <c r="C60" s="50"/>
      <c r="D60" s="46"/>
      <c r="F60" s="5"/>
      <c r="G60" s="16"/>
      <c r="H60" s="50"/>
      <c r="I60" s="46"/>
      <c r="J60" s="4"/>
      <c r="P60" s="25">
        <v>3</v>
      </c>
      <c r="Q60" s="6" t="s">
        <v>235</v>
      </c>
      <c r="R60" s="5">
        <v>15</v>
      </c>
      <c r="S60" s="30">
        <v>2.1428571428571428</v>
      </c>
      <c r="T60" s="6" t="s">
        <v>446</v>
      </c>
      <c r="V60" s="16"/>
      <c r="W60" s="5"/>
      <c r="X60" s="29"/>
    </row>
    <row r="61" spans="1:25" s="6" customFormat="1" ht="22.5" customHeight="1" x14ac:dyDescent="0.3">
      <c r="A61" s="40"/>
      <c r="B61" s="16"/>
      <c r="C61" s="50"/>
      <c r="D61" s="46"/>
      <c r="F61" s="5"/>
      <c r="G61" s="16"/>
      <c r="H61" s="50"/>
      <c r="I61" s="46"/>
      <c r="J61" s="4"/>
      <c r="K61" s="5"/>
      <c r="L61" s="16"/>
      <c r="M61" s="23"/>
      <c r="N61" s="46"/>
      <c r="P61" s="25">
        <v>4</v>
      </c>
      <c r="Q61" s="6" t="s">
        <v>107</v>
      </c>
      <c r="R61" s="5">
        <v>10</v>
      </c>
      <c r="S61" s="30">
        <v>1.4285714285714286</v>
      </c>
      <c r="T61" s="6" t="s">
        <v>447</v>
      </c>
      <c r="V61" s="16"/>
      <c r="W61" s="5"/>
      <c r="X61" s="29"/>
    </row>
    <row r="62" spans="1:25" s="6" customFormat="1" ht="22.5" customHeight="1" x14ac:dyDescent="0.25">
      <c r="A62" s="7" t="s">
        <v>0</v>
      </c>
      <c r="B62" s="8" t="s">
        <v>118</v>
      </c>
      <c r="C62" s="71"/>
      <c r="D62" s="75"/>
      <c r="F62" s="7" t="s">
        <v>0</v>
      </c>
      <c r="G62" s="8" t="s">
        <v>118</v>
      </c>
      <c r="H62" s="71"/>
      <c r="I62" s="24"/>
      <c r="K62" s="7" t="s">
        <v>0</v>
      </c>
      <c r="L62" s="8" t="s">
        <v>531</v>
      </c>
      <c r="M62" s="71"/>
      <c r="N62" s="75"/>
      <c r="P62" s="25">
        <v>5</v>
      </c>
      <c r="Q62" s="6" t="s">
        <v>104</v>
      </c>
      <c r="R62" s="5">
        <v>6</v>
      </c>
      <c r="S62" s="30">
        <v>0.8571428571428571</v>
      </c>
      <c r="T62" s="6" t="s">
        <v>447</v>
      </c>
      <c r="V62" s="16"/>
      <c r="W62" s="5"/>
      <c r="X62" s="29"/>
    </row>
    <row r="63" spans="1:25" s="6" customFormat="1" ht="22.5" customHeight="1" x14ac:dyDescent="0.25">
      <c r="A63" s="198" t="s">
        <v>463</v>
      </c>
      <c r="B63" s="199"/>
      <c r="C63" s="22" t="s">
        <v>168</v>
      </c>
      <c r="D63" s="27" t="s">
        <v>167</v>
      </c>
      <c r="F63" s="198" t="s">
        <v>564</v>
      </c>
      <c r="G63" s="199"/>
      <c r="H63" s="22" t="s">
        <v>168</v>
      </c>
      <c r="I63" s="27" t="s">
        <v>167</v>
      </c>
      <c r="K63" s="198" t="s">
        <v>526</v>
      </c>
      <c r="L63" s="199"/>
      <c r="M63" s="22" t="s">
        <v>168</v>
      </c>
      <c r="N63" s="27" t="s">
        <v>167</v>
      </c>
      <c r="P63" s="25">
        <v>6</v>
      </c>
      <c r="Q63" s="6" t="s">
        <v>137</v>
      </c>
      <c r="R63" s="5">
        <v>6</v>
      </c>
      <c r="S63" s="30">
        <v>0.8571428571428571</v>
      </c>
      <c r="T63" s="6" t="s">
        <v>447</v>
      </c>
      <c r="V63" s="16"/>
      <c r="W63" s="5"/>
      <c r="X63" s="29"/>
    </row>
    <row r="64" spans="1:25" s="6" customFormat="1" ht="22.5" customHeight="1" x14ac:dyDescent="0.25">
      <c r="A64" s="10" t="s">
        <v>1</v>
      </c>
      <c r="B64" s="11" t="s">
        <v>261</v>
      </c>
      <c r="C64" s="23">
        <f t="shared" ref="C64:C71" si="26">VLOOKUP(B64,$V:$X,2,0)</f>
        <v>0</v>
      </c>
      <c r="D64" s="46">
        <f t="shared" ref="D64:D71" si="27">VLOOKUP(B64,$V:$X,3,0)</f>
        <v>0</v>
      </c>
      <c r="F64" s="10" t="s">
        <v>1</v>
      </c>
      <c r="G64" s="11" t="s">
        <v>416</v>
      </c>
      <c r="H64" s="23">
        <f t="shared" ref="H64:H69" si="28">VLOOKUP(G64,$V:$X,2,0)</f>
        <v>6</v>
      </c>
      <c r="I64" s="46">
        <f t="shared" ref="I64:I69" si="29">VLOOKUP(G64,$V:$X,3,0)</f>
        <v>1.2</v>
      </c>
      <c r="K64" s="10" t="s">
        <v>1</v>
      </c>
      <c r="L64" s="11" t="s">
        <v>439</v>
      </c>
      <c r="M64" s="50">
        <f t="shared" ref="M64:M69" si="30">VLOOKUP(L64,$Q:$S,2,0)</f>
        <v>15</v>
      </c>
      <c r="N64" s="46">
        <f t="shared" ref="N64:N69" si="31">VLOOKUP(L64,$Q:$S,3,0)</f>
        <v>2.1428571428571428</v>
      </c>
      <c r="P64" s="25">
        <v>7</v>
      </c>
      <c r="Q64" s="6" t="s">
        <v>130</v>
      </c>
      <c r="R64" s="5">
        <v>6</v>
      </c>
      <c r="S64" s="30">
        <v>0.8571428571428571</v>
      </c>
      <c r="T64" s="6" t="s">
        <v>447</v>
      </c>
      <c r="U64" s="9"/>
      <c r="V64" s="61"/>
      <c r="W64" s="96"/>
      <c r="X64" s="97"/>
    </row>
    <row r="65" spans="1:25" s="6" customFormat="1" ht="22.5" customHeight="1" x14ac:dyDescent="0.25">
      <c r="A65" s="12" t="s">
        <v>2</v>
      </c>
      <c r="B65" s="13" t="s">
        <v>397</v>
      </c>
      <c r="C65" s="23">
        <f t="shared" si="26"/>
        <v>0</v>
      </c>
      <c r="D65" s="46">
        <f t="shared" si="27"/>
        <v>0</v>
      </c>
      <c r="E65" s="9"/>
      <c r="F65" s="12" t="s">
        <v>2</v>
      </c>
      <c r="G65" s="13" t="s">
        <v>417</v>
      </c>
      <c r="H65" s="23">
        <f t="shared" si="28"/>
        <v>4</v>
      </c>
      <c r="I65" s="46">
        <f t="shared" si="29"/>
        <v>0.8</v>
      </c>
      <c r="K65" s="12" t="s">
        <v>2</v>
      </c>
      <c r="L65" s="13" t="s">
        <v>440</v>
      </c>
      <c r="M65" s="50">
        <f t="shared" si="30"/>
        <v>10</v>
      </c>
      <c r="N65" s="46">
        <f t="shared" si="31"/>
        <v>1.4285714285714286</v>
      </c>
      <c r="P65" s="26">
        <v>8</v>
      </c>
      <c r="Q65" s="65" t="s">
        <v>99</v>
      </c>
      <c r="R65" s="31">
        <v>3</v>
      </c>
      <c r="S65" s="32">
        <v>0.42857142857142855</v>
      </c>
      <c r="T65" s="6" t="s">
        <v>447</v>
      </c>
      <c r="V65" s="16"/>
      <c r="W65" s="5"/>
      <c r="X65" s="29"/>
    </row>
    <row r="66" spans="1:25" s="9" customFormat="1" ht="22.5" customHeight="1" x14ac:dyDescent="0.25">
      <c r="A66" s="12" t="s">
        <v>3</v>
      </c>
      <c r="B66" s="13" t="s">
        <v>247</v>
      </c>
      <c r="C66" s="23">
        <f t="shared" si="26"/>
        <v>12</v>
      </c>
      <c r="D66" s="46">
        <f t="shared" si="27"/>
        <v>2.4</v>
      </c>
      <c r="E66" s="6"/>
      <c r="F66" s="12" t="s">
        <v>3</v>
      </c>
      <c r="G66" s="13" t="s">
        <v>422</v>
      </c>
      <c r="H66" s="23">
        <f t="shared" si="28"/>
        <v>13</v>
      </c>
      <c r="I66" s="46">
        <f t="shared" si="29"/>
        <v>2.1666666666666665</v>
      </c>
      <c r="J66" s="6"/>
      <c r="K66" s="12" t="s">
        <v>3</v>
      </c>
      <c r="L66" s="13" t="s">
        <v>442</v>
      </c>
      <c r="M66" s="50">
        <f t="shared" si="30"/>
        <v>6</v>
      </c>
      <c r="N66" s="46">
        <f t="shared" si="31"/>
        <v>0.8571428571428571</v>
      </c>
      <c r="P66" s="6"/>
      <c r="Q66" s="6"/>
      <c r="R66" s="5"/>
      <c r="S66" s="29"/>
      <c r="T66" s="6"/>
      <c r="U66" s="6"/>
      <c r="V66" s="16"/>
      <c r="W66" s="5"/>
      <c r="X66" s="29"/>
      <c r="Y66" s="6"/>
    </row>
    <row r="67" spans="1:25" s="6" customFormat="1" ht="22.5" customHeight="1" x14ac:dyDescent="0.25">
      <c r="A67" s="12" t="s">
        <v>4</v>
      </c>
      <c r="B67" s="13" t="s">
        <v>415</v>
      </c>
      <c r="C67" s="23">
        <f t="shared" si="26"/>
        <v>7</v>
      </c>
      <c r="D67" s="46">
        <f t="shared" si="27"/>
        <v>1.4</v>
      </c>
      <c r="F67" s="12" t="s">
        <v>4</v>
      </c>
      <c r="G67" s="13" t="s">
        <v>423</v>
      </c>
      <c r="H67" s="23">
        <f t="shared" si="28"/>
        <v>11</v>
      </c>
      <c r="I67" s="46">
        <f t="shared" si="29"/>
        <v>1.8333333333333333</v>
      </c>
      <c r="K67" s="12" t="s">
        <v>4</v>
      </c>
      <c r="L67" s="17" t="s">
        <v>443</v>
      </c>
      <c r="M67" s="50">
        <f t="shared" si="30"/>
        <v>3</v>
      </c>
      <c r="N67" s="46">
        <f t="shared" si="31"/>
        <v>0.42857142857142855</v>
      </c>
      <c r="O67" s="18">
        <v>3</v>
      </c>
      <c r="P67" s="62">
        <v>1</v>
      </c>
      <c r="Q67" s="58" t="s">
        <v>75</v>
      </c>
      <c r="R67" s="57">
        <v>18</v>
      </c>
      <c r="S67" s="63">
        <v>3</v>
      </c>
      <c r="T67" s="6" t="s">
        <v>446</v>
      </c>
      <c r="V67" s="16"/>
      <c r="W67" s="5"/>
      <c r="X67" s="29"/>
    </row>
    <row r="68" spans="1:25" s="6" customFormat="1" ht="22.5" customHeight="1" x14ac:dyDescent="0.25">
      <c r="A68" s="12" t="s">
        <v>5</v>
      </c>
      <c r="B68" s="13" t="s">
        <v>419</v>
      </c>
      <c r="C68" s="23">
        <f t="shared" si="26"/>
        <v>9</v>
      </c>
      <c r="D68" s="46">
        <f t="shared" si="27"/>
        <v>1.8</v>
      </c>
      <c r="F68" s="12" t="s">
        <v>5</v>
      </c>
      <c r="G68" s="13" t="s">
        <v>424</v>
      </c>
      <c r="H68" s="23">
        <f t="shared" si="28"/>
        <v>9</v>
      </c>
      <c r="I68" s="46">
        <f t="shared" si="29"/>
        <v>1.5</v>
      </c>
      <c r="K68" s="12" t="s">
        <v>5</v>
      </c>
      <c r="L68" s="13" t="s">
        <v>444</v>
      </c>
      <c r="M68" s="50">
        <f t="shared" si="30"/>
        <v>1</v>
      </c>
      <c r="N68" s="46">
        <f t="shared" si="31"/>
        <v>0.14285714285714285</v>
      </c>
      <c r="O68" s="18"/>
      <c r="P68" s="25">
        <v>2</v>
      </c>
      <c r="Q68" s="6" t="s">
        <v>77</v>
      </c>
      <c r="R68" s="5">
        <v>13</v>
      </c>
      <c r="S68" s="30">
        <v>2.1666666666666665</v>
      </c>
      <c r="T68" s="6" t="s">
        <v>446</v>
      </c>
      <c r="V68" s="16"/>
      <c r="W68" s="5"/>
      <c r="X68" s="29"/>
    </row>
    <row r="69" spans="1:25" s="6" customFormat="1" ht="22.5" customHeight="1" x14ac:dyDescent="0.25">
      <c r="A69" s="12" t="s">
        <v>6</v>
      </c>
      <c r="B69" s="13" t="s">
        <v>420</v>
      </c>
      <c r="C69" s="23">
        <f t="shared" si="26"/>
        <v>8</v>
      </c>
      <c r="D69" s="46">
        <f t="shared" si="27"/>
        <v>1.6</v>
      </c>
      <c r="F69" s="196" t="s">
        <v>6</v>
      </c>
      <c r="G69" s="197" t="s">
        <v>425</v>
      </c>
      <c r="H69" s="23">
        <f t="shared" si="28"/>
        <v>1</v>
      </c>
      <c r="I69" s="46">
        <f t="shared" si="29"/>
        <v>0.16666666666666666</v>
      </c>
      <c r="K69" s="14" t="s">
        <v>6</v>
      </c>
      <c r="L69" s="15" t="s">
        <v>448</v>
      </c>
      <c r="M69" s="50" t="str">
        <f t="shared" si="30"/>
        <v>neu</v>
      </c>
      <c r="N69" s="46" t="str">
        <f t="shared" si="31"/>
        <v>neu</v>
      </c>
      <c r="O69" s="18"/>
      <c r="P69" s="25">
        <v>3</v>
      </c>
      <c r="Q69" s="6" t="s">
        <v>162</v>
      </c>
      <c r="R69" s="5">
        <v>12</v>
      </c>
      <c r="S69" s="30">
        <v>2</v>
      </c>
      <c r="T69" s="6" t="s">
        <v>447</v>
      </c>
      <c r="V69" s="16"/>
      <c r="W69" s="5"/>
      <c r="X69" s="29"/>
    </row>
    <row r="70" spans="1:25" s="6" customFormat="1" ht="22.5" customHeight="1" x14ac:dyDescent="0.3">
      <c r="A70" s="12" t="s">
        <v>7</v>
      </c>
      <c r="B70" s="13" t="s">
        <v>421</v>
      </c>
      <c r="C70" s="23">
        <f t="shared" si="26"/>
        <v>5</v>
      </c>
      <c r="D70" s="46">
        <f t="shared" si="27"/>
        <v>1</v>
      </c>
      <c r="F70" s="14" t="s">
        <v>7</v>
      </c>
      <c r="G70" s="15" t="s">
        <v>565</v>
      </c>
      <c r="H70" s="50" t="s">
        <v>199</v>
      </c>
      <c r="I70" s="24" t="s">
        <v>199</v>
      </c>
      <c r="K70" s="180"/>
      <c r="L70" s="60"/>
      <c r="M70" s="79"/>
      <c r="N70" s="80"/>
      <c r="O70" s="18"/>
      <c r="P70" s="25">
        <v>4</v>
      </c>
      <c r="Q70" s="6" t="s">
        <v>80</v>
      </c>
      <c r="R70" s="5">
        <v>10</v>
      </c>
      <c r="S70" s="30">
        <v>1.6666666666666667</v>
      </c>
      <c r="T70" s="6" t="s">
        <v>447</v>
      </c>
      <c r="V70" s="16"/>
      <c r="W70" s="5"/>
      <c r="X70" s="29"/>
    </row>
    <row r="71" spans="1:25" s="6" customFormat="1" ht="22.5" customHeight="1" x14ac:dyDescent="0.3">
      <c r="A71" s="14" t="s">
        <v>8</v>
      </c>
      <c r="B71" s="15" t="s">
        <v>26</v>
      </c>
      <c r="C71" s="23">
        <f t="shared" si="26"/>
        <v>5</v>
      </c>
      <c r="D71" s="46">
        <f t="shared" si="27"/>
        <v>1</v>
      </c>
      <c r="F71" s="180"/>
      <c r="G71" s="60"/>
      <c r="H71" s="72"/>
      <c r="I71" s="76"/>
      <c r="K71" s="180"/>
      <c r="L71" s="60"/>
      <c r="M71" s="72"/>
      <c r="N71" s="76"/>
      <c r="O71" s="18"/>
      <c r="P71" s="25">
        <v>5</v>
      </c>
      <c r="Q71" s="6" t="s">
        <v>96</v>
      </c>
      <c r="R71" s="5">
        <v>4</v>
      </c>
      <c r="S71" s="30">
        <v>0.66666666666666663</v>
      </c>
      <c r="T71" s="6" t="s">
        <v>447</v>
      </c>
      <c r="V71" s="16"/>
      <c r="W71" s="5"/>
      <c r="X71" s="29"/>
    </row>
    <row r="72" spans="1:25" s="6" customFormat="1" ht="22.5" customHeight="1" x14ac:dyDescent="0.3">
      <c r="F72" s="180"/>
      <c r="G72" s="60"/>
      <c r="H72" s="72"/>
      <c r="I72" s="76"/>
      <c r="K72" s="180"/>
      <c r="L72" s="60"/>
      <c r="M72" s="72"/>
      <c r="N72" s="76"/>
      <c r="O72" s="18"/>
      <c r="P72" s="25">
        <v>6</v>
      </c>
      <c r="Q72" s="6" t="s">
        <v>409</v>
      </c>
      <c r="R72" s="5">
        <v>3</v>
      </c>
      <c r="S72" s="30">
        <v>0.5</v>
      </c>
      <c r="T72" s="6" t="s">
        <v>447</v>
      </c>
      <c r="U72" s="51"/>
      <c r="V72" s="98"/>
      <c r="W72" s="52"/>
      <c r="X72" s="92"/>
    </row>
    <row r="73" spans="1:25" s="6" customFormat="1" ht="22.5" customHeight="1" x14ac:dyDescent="0.3">
      <c r="A73" s="19"/>
      <c r="B73" s="4"/>
      <c r="C73" s="72"/>
      <c r="D73" s="76"/>
      <c r="E73" s="4"/>
      <c r="F73" s="19"/>
      <c r="G73" s="4"/>
      <c r="H73" s="72"/>
      <c r="I73" s="76"/>
      <c r="J73" s="4"/>
      <c r="K73" s="180"/>
      <c r="L73" s="60"/>
      <c r="M73" s="72"/>
      <c r="N73" s="76"/>
      <c r="O73" s="18"/>
      <c r="P73" s="26">
        <v>7</v>
      </c>
      <c r="Q73" s="65" t="s">
        <v>128</v>
      </c>
      <c r="R73" s="31">
        <v>1</v>
      </c>
      <c r="S73" s="32">
        <v>0.16666666666666666</v>
      </c>
      <c r="T73" s="6" t="s">
        <v>447</v>
      </c>
      <c r="U73" s="51"/>
      <c r="V73" s="98"/>
      <c r="W73" s="52"/>
      <c r="X73" s="92"/>
    </row>
    <row r="74" spans="1:25" ht="22.5" customHeight="1" x14ac:dyDescent="0.3">
      <c r="P74" s="6"/>
      <c r="Q74" s="6"/>
      <c r="R74" s="5"/>
      <c r="S74" s="29"/>
      <c r="T74" s="6"/>
    </row>
    <row r="75" spans="1:25" ht="22.5" customHeight="1" x14ac:dyDescent="0.3">
      <c r="O75" s="4">
        <v>4</v>
      </c>
      <c r="P75" s="62">
        <v>1</v>
      </c>
      <c r="Q75" s="58" t="s">
        <v>66</v>
      </c>
      <c r="R75" s="57">
        <v>18</v>
      </c>
      <c r="S75" s="63">
        <v>2.5714285714285716</v>
      </c>
      <c r="T75" s="6" t="s">
        <v>446</v>
      </c>
    </row>
    <row r="76" spans="1:25" ht="22.5" customHeight="1" x14ac:dyDescent="0.3">
      <c r="P76" s="25">
        <v>2</v>
      </c>
      <c r="Q76" s="6" t="s">
        <v>90</v>
      </c>
      <c r="R76" s="5">
        <v>16</v>
      </c>
      <c r="S76" s="30">
        <v>2.2857142857142856</v>
      </c>
      <c r="T76" s="6" t="s">
        <v>446</v>
      </c>
    </row>
    <row r="77" spans="1:25" ht="22.5" customHeight="1" x14ac:dyDescent="0.3">
      <c r="P77" s="25">
        <v>3</v>
      </c>
      <c r="Q77" s="6" t="s">
        <v>147</v>
      </c>
      <c r="R77" s="5">
        <v>15</v>
      </c>
      <c r="S77" s="30">
        <v>2.1428571428571428</v>
      </c>
      <c r="T77" s="6" t="s">
        <v>446</v>
      </c>
    </row>
    <row r="78" spans="1:25" ht="22.5" customHeight="1" x14ac:dyDescent="0.3">
      <c r="P78" s="25">
        <v>4</v>
      </c>
      <c r="Q78" s="6" t="s">
        <v>148</v>
      </c>
      <c r="R78" s="5">
        <v>8</v>
      </c>
      <c r="S78" s="30">
        <v>1.1428571428571428</v>
      </c>
      <c r="T78" s="6" t="s">
        <v>447</v>
      </c>
    </row>
    <row r="79" spans="1:25" ht="22.5" customHeight="1" x14ac:dyDescent="0.3">
      <c r="P79" s="25">
        <v>5</v>
      </c>
      <c r="Q79" s="6" t="s">
        <v>234</v>
      </c>
      <c r="R79" s="5">
        <v>8</v>
      </c>
      <c r="S79" s="30">
        <v>1.1428571428571428</v>
      </c>
      <c r="T79" s="6" t="s">
        <v>447</v>
      </c>
    </row>
    <row r="80" spans="1:25" ht="22.5" customHeight="1" x14ac:dyDescent="0.3">
      <c r="P80" s="25">
        <v>6</v>
      </c>
      <c r="Q80" s="6" t="s">
        <v>237</v>
      </c>
      <c r="R80" s="5">
        <v>7</v>
      </c>
      <c r="S80" s="30">
        <v>1</v>
      </c>
      <c r="T80" s="6" t="s">
        <v>447</v>
      </c>
    </row>
    <row r="81" spans="15:20" ht="22.5" customHeight="1" x14ac:dyDescent="0.3">
      <c r="P81" s="25">
        <v>7</v>
      </c>
      <c r="Q81" s="6" t="s">
        <v>410</v>
      </c>
      <c r="R81" s="5">
        <v>4</v>
      </c>
      <c r="S81" s="30">
        <v>0.5714285714285714</v>
      </c>
      <c r="T81" s="6" t="s">
        <v>447</v>
      </c>
    </row>
    <row r="82" spans="15:20" ht="22.5" customHeight="1" x14ac:dyDescent="0.3">
      <c r="P82" s="26">
        <v>8</v>
      </c>
      <c r="Q82" s="65" t="s">
        <v>109</v>
      </c>
      <c r="R82" s="31">
        <v>4</v>
      </c>
      <c r="S82" s="32">
        <v>0.5714285714285714</v>
      </c>
      <c r="T82" s="6" t="s">
        <v>447</v>
      </c>
    </row>
    <row r="83" spans="15:20" ht="22.5" customHeight="1" x14ac:dyDescent="0.3">
      <c r="P83" s="6"/>
      <c r="Q83" s="6"/>
      <c r="R83" s="5"/>
      <c r="S83" s="29"/>
    </row>
    <row r="84" spans="15:20" ht="22.5" customHeight="1" x14ac:dyDescent="0.3">
      <c r="O84" s="4">
        <v>5</v>
      </c>
      <c r="P84" s="62">
        <v>1</v>
      </c>
      <c r="Q84" s="58" t="s">
        <v>93</v>
      </c>
      <c r="R84" s="57">
        <v>19</v>
      </c>
      <c r="S84" s="63">
        <v>2.7142857142857144</v>
      </c>
      <c r="T84" s="6" t="s">
        <v>446</v>
      </c>
    </row>
    <row r="85" spans="15:20" ht="22.5" customHeight="1" x14ac:dyDescent="0.3">
      <c r="P85" s="25">
        <v>2</v>
      </c>
      <c r="Q85" s="6" t="s">
        <v>110</v>
      </c>
      <c r="R85" s="5">
        <v>18</v>
      </c>
      <c r="S85" s="30">
        <v>2.5714285714285716</v>
      </c>
      <c r="T85" s="6" t="s">
        <v>446</v>
      </c>
    </row>
    <row r="86" spans="15:20" ht="22.5" customHeight="1" x14ac:dyDescent="0.3">
      <c r="P86" s="25">
        <v>3</v>
      </c>
      <c r="Q86" s="6" t="s">
        <v>67</v>
      </c>
      <c r="R86" s="5">
        <v>13</v>
      </c>
      <c r="S86" s="30">
        <v>1.8571428571428572</v>
      </c>
      <c r="T86" s="6" t="s">
        <v>447</v>
      </c>
    </row>
    <row r="87" spans="15:20" ht="22.5" customHeight="1" x14ac:dyDescent="0.3">
      <c r="P87" s="25">
        <v>4</v>
      </c>
      <c r="Q87" s="6" t="s">
        <v>236</v>
      </c>
      <c r="R87" s="5">
        <v>9</v>
      </c>
      <c r="S87" s="30">
        <v>1.2857142857142858</v>
      </c>
      <c r="T87" s="6" t="s">
        <v>447</v>
      </c>
    </row>
    <row r="88" spans="15:20" ht="22.5" customHeight="1" x14ac:dyDescent="0.3">
      <c r="P88" s="25">
        <v>5</v>
      </c>
      <c r="Q88" s="6" t="s">
        <v>105</v>
      </c>
      <c r="R88" s="5">
        <v>9</v>
      </c>
      <c r="S88" s="30">
        <v>1.2857142857142858</v>
      </c>
      <c r="T88" s="6" t="s">
        <v>447</v>
      </c>
    </row>
    <row r="89" spans="15:20" ht="22.5" customHeight="1" x14ac:dyDescent="0.3">
      <c r="P89" s="25">
        <v>6</v>
      </c>
      <c r="Q89" s="6" t="s">
        <v>411</v>
      </c>
      <c r="R89" s="5">
        <v>9</v>
      </c>
      <c r="S89" s="30">
        <v>1.2857142857142858</v>
      </c>
      <c r="T89" s="6" t="s">
        <v>447</v>
      </c>
    </row>
    <row r="90" spans="15:20" ht="22.5" customHeight="1" x14ac:dyDescent="0.3">
      <c r="P90" s="25">
        <v>7</v>
      </c>
      <c r="Q90" s="6" t="s">
        <v>238</v>
      </c>
      <c r="R90" s="5">
        <v>6</v>
      </c>
      <c r="S90" s="30">
        <v>0.8571428571428571</v>
      </c>
      <c r="T90" s="6" t="s">
        <v>447</v>
      </c>
    </row>
    <row r="91" spans="15:20" ht="22.5" customHeight="1" x14ac:dyDescent="0.3">
      <c r="P91" s="26">
        <v>8</v>
      </c>
      <c r="Q91" s="65" t="s">
        <v>412</v>
      </c>
      <c r="R91" s="31">
        <v>0</v>
      </c>
      <c r="S91" s="32">
        <v>0</v>
      </c>
      <c r="T91" s="6" t="s">
        <v>447</v>
      </c>
    </row>
    <row r="92" spans="15:20" ht="22.5" customHeight="1" x14ac:dyDescent="0.3">
      <c r="P92" s="6"/>
      <c r="Q92" s="6"/>
      <c r="R92" s="5"/>
      <c r="S92" s="29"/>
    </row>
    <row r="93" spans="15:20" ht="22.5" customHeight="1" x14ac:dyDescent="0.3">
      <c r="O93" s="4">
        <v>6</v>
      </c>
      <c r="P93" s="62">
        <v>1</v>
      </c>
      <c r="Q93" s="58" t="s">
        <v>57</v>
      </c>
      <c r="R93" s="57">
        <v>16</v>
      </c>
      <c r="S93" s="63">
        <v>2.6666666666666665</v>
      </c>
      <c r="T93" s="6" t="s">
        <v>446</v>
      </c>
    </row>
    <row r="94" spans="15:20" ht="22.5" customHeight="1" x14ac:dyDescent="0.3">
      <c r="P94" s="25">
        <v>2</v>
      </c>
      <c r="Q94" s="6" t="s">
        <v>73</v>
      </c>
      <c r="R94" s="5">
        <v>13</v>
      </c>
      <c r="S94" s="30">
        <v>2.1666666666666665</v>
      </c>
      <c r="T94" s="6" t="s">
        <v>446</v>
      </c>
    </row>
    <row r="95" spans="15:20" ht="22.5" customHeight="1" x14ac:dyDescent="0.3">
      <c r="P95" s="25">
        <v>3</v>
      </c>
      <c r="Q95" s="6" t="s">
        <v>111</v>
      </c>
      <c r="R95" s="5">
        <v>10</v>
      </c>
      <c r="S95" s="30">
        <v>1.6666666666666667</v>
      </c>
      <c r="T95" s="6" t="s">
        <v>447</v>
      </c>
    </row>
    <row r="96" spans="15:20" ht="22.5" customHeight="1" x14ac:dyDescent="0.3">
      <c r="P96" s="25">
        <v>4</v>
      </c>
      <c r="Q96" s="6" t="s">
        <v>163</v>
      </c>
      <c r="R96" s="5">
        <v>7</v>
      </c>
      <c r="S96" s="30">
        <v>1.1666666666666667</v>
      </c>
      <c r="T96" s="6" t="s">
        <v>447</v>
      </c>
    </row>
    <row r="97" spans="16:20" ht="22.5" customHeight="1" x14ac:dyDescent="0.3">
      <c r="P97" s="25">
        <v>5</v>
      </c>
      <c r="Q97" s="6" t="s">
        <v>239</v>
      </c>
      <c r="R97" s="5">
        <v>5</v>
      </c>
      <c r="S97" s="30">
        <v>0.83333333333333337</v>
      </c>
      <c r="T97" s="6" t="s">
        <v>447</v>
      </c>
    </row>
    <row r="98" spans="16:20" ht="22.5" customHeight="1" x14ac:dyDescent="0.3">
      <c r="P98" s="25">
        <v>6</v>
      </c>
      <c r="Q98" s="6" t="s">
        <v>112</v>
      </c>
      <c r="R98" s="5">
        <v>5</v>
      </c>
      <c r="S98" s="30">
        <v>0.83333333333333337</v>
      </c>
      <c r="T98" s="6" t="s">
        <v>447</v>
      </c>
    </row>
    <row r="99" spans="16:20" ht="22.5" customHeight="1" x14ac:dyDescent="0.3">
      <c r="P99" s="26">
        <v>7</v>
      </c>
      <c r="Q99" s="65" t="s">
        <v>159</v>
      </c>
      <c r="R99" s="31">
        <v>2</v>
      </c>
      <c r="S99" s="32">
        <v>0.33333333333333331</v>
      </c>
      <c r="T99" s="6" t="s">
        <v>447</v>
      </c>
    </row>
    <row r="100" spans="16:20" ht="22.5" customHeight="1" x14ac:dyDescent="0.3"/>
    <row r="101" spans="16:20" ht="22.5" customHeight="1" x14ac:dyDescent="0.3">
      <c r="P101" s="166">
        <v>1</v>
      </c>
      <c r="Q101" s="164" t="s">
        <v>437</v>
      </c>
      <c r="R101" s="167">
        <v>21</v>
      </c>
      <c r="S101" s="168">
        <v>3</v>
      </c>
    </row>
    <row r="102" spans="16:20" ht="22.5" customHeight="1" x14ac:dyDescent="0.3">
      <c r="P102" s="169">
        <v>2</v>
      </c>
      <c r="Q102" s="165" t="s">
        <v>438</v>
      </c>
      <c r="R102" s="170">
        <v>18</v>
      </c>
      <c r="S102" s="171">
        <v>2.5714285714285716</v>
      </c>
    </row>
    <row r="103" spans="16:20" ht="22.5" customHeight="1" x14ac:dyDescent="0.3">
      <c r="P103" s="158">
        <v>3</v>
      </c>
      <c r="Q103" s="66" t="s">
        <v>439</v>
      </c>
      <c r="R103" s="67">
        <v>15</v>
      </c>
      <c r="S103" s="159">
        <v>2.1428571428571428</v>
      </c>
      <c r="T103" s="4" t="s">
        <v>445</v>
      </c>
    </row>
    <row r="104" spans="16:20" ht="22.5" customHeight="1" x14ac:dyDescent="0.3">
      <c r="P104" s="158">
        <v>4</v>
      </c>
      <c r="Q104" s="66" t="s">
        <v>440</v>
      </c>
      <c r="R104" s="67">
        <v>10</v>
      </c>
      <c r="S104" s="159">
        <v>1.4285714285714286</v>
      </c>
      <c r="T104" s="4" t="s">
        <v>445</v>
      </c>
    </row>
    <row r="105" spans="16:20" ht="22.5" customHeight="1" x14ac:dyDescent="0.3">
      <c r="P105" s="172">
        <v>5</v>
      </c>
      <c r="Q105" s="173" t="s">
        <v>441</v>
      </c>
      <c r="R105" s="174">
        <v>9</v>
      </c>
      <c r="S105" s="175">
        <v>1.2857142857142858</v>
      </c>
    </row>
    <row r="106" spans="16:20" ht="22.5" customHeight="1" x14ac:dyDescent="0.3">
      <c r="P106" s="158">
        <v>6</v>
      </c>
      <c r="Q106" s="66" t="s">
        <v>442</v>
      </c>
      <c r="R106" s="67">
        <v>6</v>
      </c>
      <c r="S106" s="159">
        <v>0.8571428571428571</v>
      </c>
      <c r="T106" s="4" t="s">
        <v>445</v>
      </c>
    </row>
    <row r="107" spans="16:20" ht="22.5" customHeight="1" x14ac:dyDescent="0.3">
      <c r="P107" s="158">
        <v>7</v>
      </c>
      <c r="Q107" s="66" t="s">
        <v>443</v>
      </c>
      <c r="R107" s="67">
        <v>3</v>
      </c>
      <c r="S107" s="159">
        <v>0.42857142857142855</v>
      </c>
      <c r="T107" s="4" t="s">
        <v>445</v>
      </c>
    </row>
    <row r="108" spans="16:20" ht="22.5" customHeight="1" x14ac:dyDescent="0.3">
      <c r="P108" s="160">
        <v>8</v>
      </c>
      <c r="Q108" s="161" t="s">
        <v>444</v>
      </c>
      <c r="R108" s="162">
        <v>1</v>
      </c>
      <c r="S108" s="163">
        <v>0.14285714285714285</v>
      </c>
      <c r="T108" s="4" t="s">
        <v>445</v>
      </c>
    </row>
    <row r="109" spans="16:20" ht="22.5" customHeight="1" x14ac:dyDescent="0.3"/>
    <row r="110" spans="16:20" ht="22.5" customHeight="1" x14ac:dyDescent="0.3">
      <c r="Q110" s="66" t="s">
        <v>448</v>
      </c>
      <c r="R110" s="67" t="s">
        <v>199</v>
      </c>
      <c r="S110" s="68" t="s">
        <v>199</v>
      </c>
      <c r="T110" s="4" t="s">
        <v>445</v>
      </c>
    </row>
    <row r="111" spans="16:20" ht="22.5" customHeight="1" x14ac:dyDescent="0.3">
      <c r="Q111" s="66" t="s">
        <v>449</v>
      </c>
      <c r="R111" s="67">
        <v>21</v>
      </c>
      <c r="S111" s="68">
        <v>3</v>
      </c>
      <c r="T111" s="4" t="s">
        <v>446</v>
      </c>
    </row>
    <row r="112" spans="16:20" ht="22.5" customHeight="1" x14ac:dyDescent="0.3">
      <c r="Q112" s="176" t="s">
        <v>450</v>
      </c>
      <c r="R112" s="67">
        <v>18</v>
      </c>
      <c r="S112" s="68">
        <v>2.57</v>
      </c>
      <c r="T112" s="4" t="s">
        <v>447</v>
      </c>
    </row>
    <row r="113" spans="17:20" ht="22.5" customHeight="1" x14ac:dyDescent="0.3">
      <c r="Q113" s="176" t="s">
        <v>126</v>
      </c>
      <c r="R113" s="67" t="s">
        <v>199</v>
      </c>
      <c r="S113" s="68" t="s">
        <v>199</v>
      </c>
      <c r="T113" s="4" t="s">
        <v>447</v>
      </c>
    </row>
    <row r="114" spans="17:20" ht="22.5" customHeight="1" x14ac:dyDescent="0.3"/>
    <row r="115" spans="17:20" ht="22.5" customHeight="1" x14ac:dyDescent="0.3"/>
    <row r="116" spans="17:20" ht="22.5" customHeight="1" x14ac:dyDescent="0.3"/>
  </sheetData>
  <mergeCells count="17">
    <mergeCell ref="A1:G1"/>
    <mergeCell ref="A4:B4"/>
    <mergeCell ref="F4:G4"/>
    <mergeCell ref="A17:B17"/>
    <mergeCell ref="F17:G17"/>
    <mergeCell ref="A63:B63"/>
    <mergeCell ref="K63:L63"/>
    <mergeCell ref="A28:B28"/>
    <mergeCell ref="F28:G28"/>
    <mergeCell ref="K51:L51"/>
    <mergeCell ref="F51:G51"/>
    <mergeCell ref="K28:L28"/>
    <mergeCell ref="A40:B40"/>
    <mergeCell ref="F40:G40"/>
    <mergeCell ref="K40:L40"/>
    <mergeCell ref="A51:B51"/>
    <mergeCell ref="F63:G63"/>
  </mergeCells>
  <printOptions horizontalCentered="1"/>
  <pageMargins left="0.15748031496062992" right="0.15748031496062992" top="0.39370078740157483" bottom="0.19685039370078741" header="0.19685039370078741" footer="0.11811023622047245"/>
  <pageSetup paperSize="9" scale="65" fitToHeight="0" orientation="landscape" r:id="rId1"/>
  <headerFooter alignWithMargins="0">
    <oddFooter>&amp;R&amp;"Arial Narrow,Standard"Seite &amp;P von &amp;N</oddFooter>
  </headerFooter>
  <rowBreaks count="1" manualBreakCount="1">
    <brk id="38" max="1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110B-70B1-4ACD-9ADF-82990CEE4B91}">
  <sheetPr>
    <pageSetUpPr fitToPage="1"/>
  </sheetPr>
  <dimension ref="A1:AB157"/>
  <sheetViews>
    <sheetView zoomScale="80" zoomScaleNormal="80" zoomScaleSheetLayoutView="80" zoomScalePageLayoutView="80" workbookViewId="0">
      <selection sqref="A1:G1"/>
    </sheetView>
  </sheetViews>
  <sheetFormatPr baseColWidth="10" defaultColWidth="11.42578125" defaultRowHeight="22.5" customHeight="1" x14ac:dyDescent="0.25"/>
  <cols>
    <col min="1" max="1" width="4.5703125" style="52" bestFit="1" customWidth="1"/>
    <col min="2" max="2" width="50" style="51" customWidth="1"/>
    <col min="3" max="3" width="8.42578125" style="23" customWidth="1"/>
    <col min="4" max="4" width="7" style="46" customWidth="1"/>
    <col min="5" max="5" width="6.42578125" style="51" customWidth="1"/>
    <col min="6" max="6" width="4.5703125" style="52" bestFit="1" customWidth="1"/>
    <col min="7" max="7" width="50" style="51" customWidth="1"/>
    <col min="8" max="8" width="8.42578125" style="23" customWidth="1"/>
    <col min="9" max="9" width="7" style="46" customWidth="1"/>
    <col min="10" max="10" width="6.42578125" style="51" customWidth="1"/>
    <col min="11" max="11" width="4.5703125" style="52" bestFit="1" customWidth="1"/>
    <col min="12" max="12" width="50" style="51" customWidth="1"/>
    <col min="13" max="13" width="8.42578125" style="23" customWidth="1"/>
    <col min="14" max="14" width="7" style="46" customWidth="1"/>
    <col min="15" max="15" width="9.140625" style="51" customWidth="1"/>
    <col min="16" max="16" width="4.42578125" style="6" customWidth="1"/>
    <col min="17" max="17" width="54.28515625" style="6" bestFit="1" customWidth="1"/>
    <col min="18" max="18" width="7.85546875" style="5" bestFit="1" customWidth="1"/>
    <col min="19" max="19" width="6.28515625" style="29" bestFit="1" customWidth="1"/>
    <col min="20" max="20" width="11.42578125" style="5"/>
    <col min="21" max="21" width="4.42578125" style="6" customWidth="1"/>
    <col min="22" max="22" width="60" style="16" customWidth="1"/>
    <col min="23" max="23" width="7.85546875" style="5" bestFit="1" customWidth="1"/>
    <col min="24" max="24" width="6.28515625" style="29" bestFit="1" customWidth="1"/>
    <col min="25" max="28" width="11.42578125" style="6"/>
    <col min="29" max="16384" width="11.42578125" style="51"/>
  </cols>
  <sheetData>
    <row r="1" spans="1:28" ht="29.25" customHeight="1" x14ac:dyDescent="0.25">
      <c r="A1" s="204" t="s">
        <v>464</v>
      </c>
      <c r="B1" s="204"/>
      <c r="C1" s="204"/>
      <c r="D1" s="204"/>
      <c r="E1" s="204"/>
      <c r="F1" s="204"/>
      <c r="G1" s="204"/>
      <c r="H1" s="84"/>
      <c r="I1" s="85"/>
      <c r="J1" s="1"/>
      <c r="K1" s="1"/>
      <c r="L1" s="2" t="s">
        <v>541</v>
      </c>
      <c r="M1" s="84"/>
      <c r="N1" s="85"/>
      <c r="O1" s="56"/>
      <c r="Q1" s="109" t="s">
        <v>294</v>
      </c>
      <c r="S1" s="46" t="s">
        <v>507</v>
      </c>
      <c r="T1" s="23">
        <f t="shared" ref="T1:T6" si="0">COUNTIF($T$10:$T$169,S1)</f>
        <v>8</v>
      </c>
      <c r="U1" s="70">
        <v>1</v>
      </c>
      <c r="V1" s="79"/>
      <c r="W1" s="23"/>
      <c r="X1" s="46" t="s">
        <v>507</v>
      </c>
      <c r="Y1" s="70">
        <f t="shared" ref="Y1:Y6" si="1">COUNTIF($Y$10:$Y$130,X1)</f>
        <v>14</v>
      </c>
    </row>
    <row r="2" spans="1:28" s="6" customFormat="1" ht="33" customHeight="1" x14ac:dyDescent="0.25">
      <c r="A2" s="5"/>
      <c r="C2" s="23"/>
      <c r="D2" s="46"/>
      <c r="F2" s="5"/>
      <c r="H2" s="23"/>
      <c r="I2" s="46"/>
      <c r="K2" s="5"/>
      <c r="M2" s="23"/>
      <c r="N2" s="46"/>
      <c r="R2" s="5"/>
      <c r="S2" s="46" t="s">
        <v>509</v>
      </c>
      <c r="T2" s="23">
        <f t="shared" si="0"/>
        <v>8</v>
      </c>
      <c r="U2" s="70">
        <v>1</v>
      </c>
      <c r="V2" s="79"/>
      <c r="W2" s="23"/>
      <c r="X2" s="46" t="s">
        <v>509</v>
      </c>
      <c r="Y2" s="70">
        <f t="shared" si="1"/>
        <v>11</v>
      </c>
    </row>
    <row r="3" spans="1:28" s="6" customFormat="1" ht="22.5" customHeight="1" x14ac:dyDescent="0.25">
      <c r="A3" s="7" t="s">
        <v>0</v>
      </c>
      <c r="B3" s="8" t="s">
        <v>120</v>
      </c>
      <c r="C3" s="82"/>
      <c r="D3" s="83"/>
      <c r="F3" s="7" t="s">
        <v>0</v>
      </c>
      <c r="G3" s="8" t="s">
        <v>120</v>
      </c>
      <c r="H3" s="82"/>
      <c r="I3" s="83"/>
      <c r="K3" s="7" t="s">
        <v>0</v>
      </c>
      <c r="L3" s="8" t="s">
        <v>120</v>
      </c>
      <c r="M3" s="82"/>
      <c r="N3" s="83"/>
      <c r="R3" s="5"/>
      <c r="S3" s="46" t="s">
        <v>510</v>
      </c>
      <c r="T3" s="23">
        <f t="shared" si="0"/>
        <v>16</v>
      </c>
      <c r="U3" s="70">
        <v>2</v>
      </c>
      <c r="V3" s="79"/>
      <c r="W3" s="23"/>
      <c r="X3" s="46" t="s">
        <v>447</v>
      </c>
      <c r="Y3" s="70">
        <f t="shared" si="1"/>
        <v>29</v>
      </c>
    </row>
    <row r="4" spans="1:28" s="9" customFormat="1" ht="22.5" customHeight="1" x14ac:dyDescent="0.25">
      <c r="A4" s="198" t="s">
        <v>210</v>
      </c>
      <c r="B4" s="199"/>
      <c r="C4" s="22" t="s">
        <v>168</v>
      </c>
      <c r="D4" s="27" t="s">
        <v>167</v>
      </c>
      <c r="F4" s="198" t="s">
        <v>211</v>
      </c>
      <c r="G4" s="199"/>
      <c r="H4" s="22" t="s">
        <v>168</v>
      </c>
      <c r="I4" s="27" t="s">
        <v>167</v>
      </c>
      <c r="K4" s="198" t="s">
        <v>212</v>
      </c>
      <c r="L4" s="199"/>
      <c r="M4" s="22" t="s">
        <v>168</v>
      </c>
      <c r="N4" s="27" t="s">
        <v>167</v>
      </c>
      <c r="P4" s="6"/>
      <c r="Q4" s="6"/>
      <c r="R4" s="5"/>
      <c r="S4" s="46" t="s">
        <v>511</v>
      </c>
      <c r="T4" s="23">
        <f t="shared" si="0"/>
        <v>16</v>
      </c>
      <c r="U4" s="70">
        <v>2</v>
      </c>
      <c r="V4" s="79"/>
      <c r="W4" s="23"/>
      <c r="X4" s="46"/>
      <c r="Y4" s="70">
        <f t="shared" si="1"/>
        <v>0</v>
      </c>
      <c r="Z4" s="6"/>
      <c r="AA4" s="6"/>
      <c r="AB4" s="6"/>
    </row>
    <row r="5" spans="1:28" s="6" customFormat="1" ht="22.5" customHeight="1" x14ac:dyDescent="0.25">
      <c r="A5" s="10" t="s">
        <v>1</v>
      </c>
      <c r="B5" s="11" t="s">
        <v>59</v>
      </c>
      <c r="C5" s="23">
        <f>VLOOKUP(B5,$Q:$S,2,0)</f>
        <v>10</v>
      </c>
      <c r="D5" s="46">
        <f>VLOOKUP(B5,$Q:$S,3,0)</f>
        <v>2</v>
      </c>
      <c r="F5" s="10" t="s">
        <v>1</v>
      </c>
      <c r="G5" s="11" t="s">
        <v>76</v>
      </c>
      <c r="H5" s="23">
        <f t="shared" ref="H5:H12" si="2">VLOOKUP(G5,$Q:$S,2,0)</f>
        <v>9</v>
      </c>
      <c r="I5" s="46">
        <f t="shared" ref="I5:I12" si="3">VLOOKUP(G5,$Q:$S,3,0)</f>
        <v>1.8</v>
      </c>
      <c r="K5" s="10" t="s">
        <v>1</v>
      </c>
      <c r="L5" s="11" t="s">
        <v>50</v>
      </c>
      <c r="M5" s="23">
        <f t="shared" ref="M5:M12" si="4">VLOOKUP(L5,$Q:$S,2,0)</f>
        <v>8</v>
      </c>
      <c r="N5" s="46">
        <f t="shared" ref="N5:N12" si="5">VLOOKUP(L5,$Q:$S,3,0)</f>
        <v>1.6</v>
      </c>
      <c r="R5" s="5"/>
      <c r="S5" s="46" t="s">
        <v>508</v>
      </c>
      <c r="T5" s="23">
        <f t="shared" si="0"/>
        <v>45</v>
      </c>
      <c r="U5" s="70"/>
      <c r="V5" s="79"/>
      <c r="W5" s="23"/>
      <c r="X5" s="46"/>
      <c r="Y5" s="70">
        <f t="shared" si="1"/>
        <v>0</v>
      </c>
    </row>
    <row r="6" spans="1:28" s="6" customFormat="1" ht="22.5" customHeight="1" x14ac:dyDescent="0.25">
      <c r="A6" s="12" t="s">
        <v>2</v>
      </c>
      <c r="B6" s="13" t="s">
        <v>97</v>
      </c>
      <c r="C6" s="23">
        <f t="shared" ref="C6:C12" si="6">VLOOKUP(B6,$Q:$S,2,0)</f>
        <v>15</v>
      </c>
      <c r="D6" s="46">
        <f t="shared" ref="D6:D12" si="7">VLOOKUP(B6,$Q:$S,3,0)</f>
        <v>3</v>
      </c>
      <c r="F6" s="12" t="s">
        <v>2</v>
      </c>
      <c r="G6" s="13" t="s">
        <v>467</v>
      </c>
      <c r="H6" s="23">
        <f t="shared" si="2"/>
        <v>12</v>
      </c>
      <c r="I6" s="46">
        <f t="shared" si="3"/>
        <v>2.4</v>
      </c>
      <c r="K6" s="12" t="s">
        <v>2</v>
      </c>
      <c r="L6" s="13" t="s">
        <v>94</v>
      </c>
      <c r="M6" s="23">
        <f t="shared" si="4"/>
        <v>5</v>
      </c>
      <c r="N6" s="46">
        <f t="shared" si="5"/>
        <v>1</v>
      </c>
      <c r="P6" s="8"/>
      <c r="R6" s="5"/>
      <c r="S6" s="46" t="s">
        <v>512</v>
      </c>
      <c r="T6" s="23">
        <f t="shared" si="0"/>
        <v>31</v>
      </c>
      <c r="U6" s="70">
        <v>10</v>
      </c>
      <c r="V6" s="79"/>
      <c r="W6" s="23"/>
      <c r="X6" s="46"/>
      <c r="Y6" s="70">
        <f t="shared" si="1"/>
        <v>0</v>
      </c>
    </row>
    <row r="7" spans="1:28" s="6" customFormat="1" ht="22.5" customHeight="1" x14ac:dyDescent="0.25">
      <c r="A7" s="12" t="s">
        <v>3</v>
      </c>
      <c r="B7" s="13" t="s">
        <v>135</v>
      </c>
      <c r="C7" s="23">
        <f t="shared" si="6"/>
        <v>13</v>
      </c>
      <c r="D7" s="46">
        <f t="shared" si="7"/>
        <v>2.6</v>
      </c>
      <c r="F7" s="12" t="s">
        <v>3</v>
      </c>
      <c r="G7" s="13" t="s">
        <v>145</v>
      </c>
      <c r="H7" s="23">
        <f t="shared" si="2"/>
        <v>10</v>
      </c>
      <c r="I7" s="46">
        <f t="shared" si="3"/>
        <v>2</v>
      </c>
      <c r="K7" s="12" t="s">
        <v>3</v>
      </c>
      <c r="L7" s="13" t="s">
        <v>465</v>
      </c>
      <c r="M7" s="23">
        <f t="shared" si="4"/>
        <v>5</v>
      </c>
      <c r="N7" s="46">
        <f t="shared" si="5"/>
        <v>1</v>
      </c>
      <c r="P7" s="8"/>
      <c r="R7" s="5"/>
      <c r="S7" s="29"/>
      <c r="T7" s="5"/>
      <c r="V7" s="16"/>
      <c r="W7" s="5"/>
      <c r="X7" s="29"/>
    </row>
    <row r="8" spans="1:28" s="6" customFormat="1" ht="22.5" customHeight="1" x14ac:dyDescent="0.25">
      <c r="A8" s="12" t="s">
        <v>4</v>
      </c>
      <c r="B8" s="13" t="s">
        <v>144</v>
      </c>
      <c r="C8" s="23">
        <f t="shared" si="6"/>
        <v>15</v>
      </c>
      <c r="D8" s="46">
        <f t="shared" si="7"/>
        <v>3</v>
      </c>
      <c r="F8" s="12" t="s">
        <v>4</v>
      </c>
      <c r="G8" s="13" t="s">
        <v>139</v>
      </c>
      <c r="H8" s="23">
        <f t="shared" si="2"/>
        <v>9</v>
      </c>
      <c r="I8" s="46">
        <f t="shared" si="3"/>
        <v>1.8</v>
      </c>
      <c r="K8" s="12" t="s">
        <v>4</v>
      </c>
      <c r="L8" s="13" t="s">
        <v>79</v>
      </c>
      <c r="M8" s="23">
        <f t="shared" si="4"/>
        <v>4</v>
      </c>
      <c r="N8" s="46">
        <f t="shared" si="5"/>
        <v>0.8</v>
      </c>
      <c r="R8" s="5"/>
      <c r="S8" s="29"/>
      <c r="T8" s="5"/>
      <c r="V8" s="16"/>
      <c r="W8" s="5"/>
      <c r="X8" s="29"/>
    </row>
    <row r="9" spans="1:28" s="6" customFormat="1" ht="22.5" customHeight="1" x14ac:dyDescent="0.25">
      <c r="A9" s="12" t="s">
        <v>5</v>
      </c>
      <c r="B9" s="13" t="s">
        <v>108</v>
      </c>
      <c r="C9" s="23">
        <f t="shared" si="6"/>
        <v>12</v>
      </c>
      <c r="D9" s="46">
        <f t="shared" si="7"/>
        <v>2.4</v>
      </c>
      <c r="F9" s="12" t="s">
        <v>5</v>
      </c>
      <c r="G9" s="13" t="s">
        <v>143</v>
      </c>
      <c r="H9" s="23">
        <f t="shared" si="2"/>
        <v>9</v>
      </c>
      <c r="I9" s="46">
        <f t="shared" si="3"/>
        <v>1.8</v>
      </c>
      <c r="K9" s="12" t="s">
        <v>5</v>
      </c>
      <c r="L9" s="13" t="s">
        <v>92</v>
      </c>
      <c r="M9" s="23">
        <f t="shared" si="4"/>
        <v>9</v>
      </c>
      <c r="N9" s="46">
        <f t="shared" si="5"/>
        <v>1.8</v>
      </c>
      <c r="Q9" s="59" t="s">
        <v>170</v>
      </c>
      <c r="R9" s="53" t="s">
        <v>168</v>
      </c>
      <c r="S9" s="54" t="s">
        <v>167</v>
      </c>
      <c r="T9" s="5"/>
      <c r="V9" s="55" t="s">
        <v>171</v>
      </c>
      <c r="W9" s="53" t="s">
        <v>168</v>
      </c>
      <c r="X9" s="54" t="s">
        <v>167</v>
      </c>
    </row>
    <row r="10" spans="1:28" s="6" customFormat="1" ht="22.5" customHeight="1" x14ac:dyDescent="0.25">
      <c r="A10" s="12" t="s">
        <v>6</v>
      </c>
      <c r="B10" s="13" t="s">
        <v>122</v>
      </c>
      <c r="C10" s="23">
        <f t="shared" si="6"/>
        <v>15</v>
      </c>
      <c r="D10" s="46">
        <f t="shared" si="7"/>
        <v>3</v>
      </c>
      <c r="F10" s="12" t="s">
        <v>6</v>
      </c>
      <c r="G10" s="13" t="s">
        <v>88</v>
      </c>
      <c r="H10" s="23">
        <f t="shared" si="2"/>
        <v>9</v>
      </c>
      <c r="I10" s="46">
        <f t="shared" si="3"/>
        <v>1.8</v>
      </c>
      <c r="K10" s="12" t="s">
        <v>6</v>
      </c>
      <c r="L10" s="13" t="s">
        <v>132</v>
      </c>
      <c r="M10" s="23">
        <f t="shared" si="4"/>
        <v>6</v>
      </c>
      <c r="N10" s="46">
        <f t="shared" si="5"/>
        <v>1.2</v>
      </c>
      <c r="P10" s="62">
        <v>1</v>
      </c>
      <c r="Q10" s="58" t="s">
        <v>59</v>
      </c>
      <c r="R10" s="57">
        <v>10</v>
      </c>
      <c r="S10" s="63">
        <v>2</v>
      </c>
      <c r="T10" s="5" t="s">
        <v>507</v>
      </c>
      <c r="U10" s="62">
        <v>1</v>
      </c>
      <c r="V10" s="64" t="s">
        <v>17</v>
      </c>
      <c r="W10" s="57">
        <v>12</v>
      </c>
      <c r="X10" s="63">
        <v>3</v>
      </c>
      <c r="Y10" s="5" t="s">
        <v>507</v>
      </c>
    </row>
    <row r="11" spans="1:28" s="6" customFormat="1" ht="22.5" customHeight="1" x14ac:dyDescent="0.25">
      <c r="A11" s="12" t="s">
        <v>7</v>
      </c>
      <c r="B11" s="13" t="s">
        <v>124</v>
      </c>
      <c r="C11" s="23">
        <f t="shared" si="6"/>
        <v>12</v>
      </c>
      <c r="D11" s="46">
        <f t="shared" si="7"/>
        <v>2.4</v>
      </c>
      <c r="F11" s="12" t="s">
        <v>7</v>
      </c>
      <c r="G11" s="13" t="s">
        <v>78</v>
      </c>
      <c r="H11" s="23">
        <f t="shared" si="2"/>
        <v>10</v>
      </c>
      <c r="I11" s="46">
        <f t="shared" si="3"/>
        <v>2</v>
      </c>
      <c r="K11" s="12" t="s">
        <v>7</v>
      </c>
      <c r="L11" s="13" t="s">
        <v>134</v>
      </c>
      <c r="M11" s="23">
        <f t="shared" si="4"/>
        <v>3</v>
      </c>
      <c r="N11" s="46">
        <f t="shared" si="5"/>
        <v>0.6</v>
      </c>
      <c r="P11" s="25">
        <v>2</v>
      </c>
      <c r="Q11" s="6" t="s">
        <v>76</v>
      </c>
      <c r="R11" s="5">
        <v>9</v>
      </c>
      <c r="S11" s="30">
        <v>1.8</v>
      </c>
      <c r="T11" s="5" t="s">
        <v>509</v>
      </c>
      <c r="U11" s="25">
        <v>2</v>
      </c>
      <c r="V11" s="16" t="s">
        <v>398</v>
      </c>
      <c r="W11" s="5">
        <v>9</v>
      </c>
      <c r="X11" s="30">
        <v>2.25</v>
      </c>
      <c r="Y11" s="5" t="s">
        <v>507</v>
      </c>
    </row>
    <row r="12" spans="1:28" s="6" customFormat="1" ht="22.5" customHeight="1" x14ac:dyDescent="0.25">
      <c r="A12" s="14" t="s">
        <v>8</v>
      </c>
      <c r="B12" s="15" t="s">
        <v>69</v>
      </c>
      <c r="C12" s="23">
        <f t="shared" si="6"/>
        <v>12</v>
      </c>
      <c r="D12" s="46">
        <f t="shared" si="7"/>
        <v>2.4</v>
      </c>
      <c r="F12" s="14" t="s">
        <v>8</v>
      </c>
      <c r="G12" s="15" t="s">
        <v>72</v>
      </c>
      <c r="H12" s="23">
        <f t="shared" si="2"/>
        <v>9</v>
      </c>
      <c r="I12" s="46">
        <f t="shared" si="3"/>
        <v>1.8</v>
      </c>
      <c r="K12" s="14" t="s">
        <v>8</v>
      </c>
      <c r="L12" s="15" t="s">
        <v>308</v>
      </c>
      <c r="M12" s="23">
        <f t="shared" si="4"/>
        <v>3</v>
      </c>
      <c r="N12" s="46">
        <f t="shared" si="5"/>
        <v>0.6</v>
      </c>
      <c r="P12" s="25">
        <v>3</v>
      </c>
      <c r="Q12" s="6" t="s">
        <v>50</v>
      </c>
      <c r="R12" s="5">
        <v>8</v>
      </c>
      <c r="S12" s="30">
        <v>1.6</v>
      </c>
      <c r="T12" s="5" t="s">
        <v>510</v>
      </c>
      <c r="U12" s="25">
        <v>3</v>
      </c>
      <c r="V12" s="16" t="s">
        <v>489</v>
      </c>
      <c r="W12" s="5">
        <v>6</v>
      </c>
      <c r="X12" s="30">
        <v>1.5</v>
      </c>
      <c r="Y12" s="5" t="s">
        <v>507</v>
      </c>
    </row>
    <row r="13" spans="1:28" s="6" customFormat="1" ht="22.5" customHeight="1" x14ac:dyDescent="0.25">
      <c r="C13" s="23"/>
      <c r="D13" s="46"/>
      <c r="H13" s="23"/>
      <c r="I13" s="46"/>
      <c r="K13" s="5"/>
      <c r="L13" s="16"/>
      <c r="M13" s="23"/>
      <c r="N13" s="46"/>
      <c r="P13" s="25">
        <v>4</v>
      </c>
      <c r="Q13" s="6" t="s">
        <v>94</v>
      </c>
      <c r="R13" s="5">
        <v>5</v>
      </c>
      <c r="S13" s="30">
        <v>1</v>
      </c>
      <c r="T13" s="5" t="s">
        <v>510</v>
      </c>
      <c r="U13" s="25">
        <v>4</v>
      </c>
      <c r="V13" s="16" t="s">
        <v>490</v>
      </c>
      <c r="W13" s="5">
        <v>3</v>
      </c>
      <c r="X13" s="30">
        <v>0.75</v>
      </c>
      <c r="Y13" s="5" t="s">
        <v>509</v>
      </c>
    </row>
    <row r="14" spans="1:28" s="6" customFormat="1" ht="22.5" customHeight="1" x14ac:dyDescent="0.25">
      <c r="A14" s="5"/>
      <c r="C14" s="23"/>
      <c r="D14" s="46"/>
      <c r="F14" s="5"/>
      <c r="H14" s="23"/>
      <c r="I14" s="46"/>
      <c r="K14" s="5"/>
      <c r="M14" s="23"/>
      <c r="N14" s="46"/>
      <c r="P14" s="25">
        <v>5</v>
      </c>
      <c r="Q14" s="6" t="s">
        <v>465</v>
      </c>
      <c r="R14" s="5">
        <v>5</v>
      </c>
      <c r="S14" s="30">
        <v>1</v>
      </c>
      <c r="T14" s="5" t="s">
        <v>510</v>
      </c>
      <c r="U14" s="26">
        <v>5</v>
      </c>
      <c r="V14" s="33" t="s">
        <v>40</v>
      </c>
      <c r="W14" s="31">
        <v>0</v>
      </c>
      <c r="X14" s="32">
        <v>0</v>
      </c>
      <c r="Y14" s="5" t="s">
        <v>509</v>
      </c>
    </row>
    <row r="15" spans="1:28" s="6" customFormat="1" ht="22.5" customHeight="1" x14ac:dyDescent="0.25">
      <c r="A15" s="7" t="s">
        <v>0</v>
      </c>
      <c r="B15" s="8" t="s">
        <v>120</v>
      </c>
      <c r="C15" s="82"/>
      <c r="D15" s="83"/>
      <c r="F15" s="7" t="s">
        <v>0</v>
      </c>
      <c r="G15" s="8" t="s">
        <v>120</v>
      </c>
      <c r="H15" s="82"/>
      <c r="I15" s="83"/>
      <c r="K15" s="7" t="s">
        <v>0</v>
      </c>
      <c r="L15" s="8" t="s">
        <v>120</v>
      </c>
      <c r="M15" s="82"/>
      <c r="N15" s="83"/>
      <c r="P15" s="26">
        <v>6</v>
      </c>
      <c r="Q15" s="65" t="s">
        <v>79</v>
      </c>
      <c r="R15" s="31">
        <v>4</v>
      </c>
      <c r="S15" s="32">
        <v>0.8</v>
      </c>
      <c r="T15" s="5" t="s">
        <v>510</v>
      </c>
      <c r="V15" s="16"/>
      <c r="W15" s="5"/>
      <c r="X15" s="29" t="s">
        <v>466</v>
      </c>
      <c r="Y15" s="5"/>
    </row>
    <row r="16" spans="1:28" s="9" customFormat="1" ht="22.5" customHeight="1" x14ac:dyDescent="0.25">
      <c r="A16" s="198" t="s">
        <v>213</v>
      </c>
      <c r="B16" s="199"/>
      <c r="C16" s="22" t="s">
        <v>168</v>
      </c>
      <c r="D16" s="27" t="s">
        <v>167</v>
      </c>
      <c r="F16" s="198" t="s">
        <v>214</v>
      </c>
      <c r="G16" s="199"/>
      <c r="H16" s="22" t="s">
        <v>168</v>
      </c>
      <c r="I16" s="27" t="s">
        <v>167</v>
      </c>
      <c r="K16" s="198" t="s">
        <v>215</v>
      </c>
      <c r="L16" s="199"/>
      <c r="M16" s="22" t="s">
        <v>168</v>
      </c>
      <c r="N16" s="27" t="s">
        <v>167</v>
      </c>
      <c r="P16" s="6"/>
      <c r="Q16" s="6"/>
      <c r="R16" s="5"/>
      <c r="S16" s="29" t="s">
        <v>466</v>
      </c>
      <c r="T16" s="5"/>
      <c r="U16" s="62">
        <v>1</v>
      </c>
      <c r="V16" s="64" t="s">
        <v>47</v>
      </c>
      <c r="W16" s="57">
        <v>12</v>
      </c>
      <c r="X16" s="63">
        <v>3</v>
      </c>
      <c r="Y16" s="5" t="s">
        <v>507</v>
      </c>
      <c r="Z16" s="6"/>
      <c r="AA16" s="6"/>
      <c r="AB16" s="6"/>
    </row>
    <row r="17" spans="1:28" s="6" customFormat="1" ht="22.5" customHeight="1" x14ac:dyDescent="0.25">
      <c r="A17" s="10" t="s">
        <v>1</v>
      </c>
      <c r="B17" s="11" t="s">
        <v>141</v>
      </c>
      <c r="C17" s="23">
        <f t="shared" ref="C17:C24" si="8">VLOOKUP(B17,$Q:$S,2,0)</f>
        <v>9</v>
      </c>
      <c r="D17" s="46">
        <f t="shared" ref="D17:D24" si="9">VLOOKUP(B17,$Q:$S,3,0)</f>
        <v>1.8</v>
      </c>
      <c r="F17" s="10" t="s">
        <v>1</v>
      </c>
      <c r="G17" s="11" t="s">
        <v>81</v>
      </c>
      <c r="H17" s="23">
        <f t="shared" ref="H17:H24" si="10">VLOOKUP(G17,$Q:$S,2,0)</f>
        <v>15</v>
      </c>
      <c r="I17" s="46">
        <f t="shared" ref="I17:I24" si="11">VLOOKUP(G17,$Q:$S,3,0)</f>
        <v>3</v>
      </c>
      <c r="K17" s="10" t="s">
        <v>1</v>
      </c>
      <c r="L17" s="11" t="s">
        <v>12</v>
      </c>
      <c r="M17" s="23">
        <f t="shared" ref="M17:M24" si="12">VLOOKUP(L17,$Q:$S,2,0)</f>
        <v>15</v>
      </c>
      <c r="N17" s="46">
        <f t="shared" ref="N17:N24" si="13">VLOOKUP(L17,$Q:$S,3,0)</f>
        <v>3</v>
      </c>
      <c r="P17" s="62">
        <v>1</v>
      </c>
      <c r="Q17" s="58" t="s">
        <v>97</v>
      </c>
      <c r="R17" s="57">
        <v>15</v>
      </c>
      <c r="S17" s="63">
        <v>3</v>
      </c>
      <c r="T17" s="5" t="s">
        <v>507</v>
      </c>
      <c r="U17" s="25">
        <v>2</v>
      </c>
      <c r="V17" s="16" t="s">
        <v>491</v>
      </c>
      <c r="W17" s="5">
        <v>9</v>
      </c>
      <c r="X17" s="30">
        <v>2.25</v>
      </c>
      <c r="Y17" s="5" t="s">
        <v>507</v>
      </c>
    </row>
    <row r="18" spans="1:28" s="6" customFormat="1" ht="22.5" customHeight="1" x14ac:dyDescent="0.25">
      <c r="A18" s="12" t="s">
        <v>2</v>
      </c>
      <c r="B18" s="13" t="s">
        <v>468</v>
      </c>
      <c r="C18" s="23">
        <f t="shared" si="8"/>
        <v>3</v>
      </c>
      <c r="D18" s="46">
        <f t="shared" si="9"/>
        <v>0.6</v>
      </c>
      <c r="F18" s="12" t="s">
        <v>2</v>
      </c>
      <c r="G18" s="13" t="s">
        <v>107</v>
      </c>
      <c r="H18" s="23">
        <f t="shared" si="10"/>
        <v>12</v>
      </c>
      <c r="I18" s="46">
        <f t="shared" si="11"/>
        <v>2.4</v>
      </c>
      <c r="K18" s="12" t="s">
        <v>2</v>
      </c>
      <c r="L18" s="13" t="s">
        <v>147</v>
      </c>
      <c r="M18" s="23">
        <f t="shared" si="12"/>
        <v>12</v>
      </c>
      <c r="N18" s="46">
        <f t="shared" si="13"/>
        <v>2.4</v>
      </c>
      <c r="P18" s="25">
        <v>2</v>
      </c>
      <c r="Q18" s="6" t="s">
        <v>467</v>
      </c>
      <c r="R18" s="5">
        <v>12</v>
      </c>
      <c r="S18" s="30">
        <v>2.4</v>
      </c>
      <c r="T18" s="5" t="s">
        <v>509</v>
      </c>
      <c r="U18" s="25">
        <v>3</v>
      </c>
      <c r="V18" s="16" t="s">
        <v>492</v>
      </c>
      <c r="W18" s="5">
        <v>6</v>
      </c>
      <c r="X18" s="30">
        <v>1.5</v>
      </c>
      <c r="Y18" s="5" t="s">
        <v>507</v>
      </c>
    </row>
    <row r="19" spans="1:28" s="6" customFormat="1" ht="22.5" customHeight="1" x14ac:dyDescent="0.25">
      <c r="A19" s="12" t="s">
        <v>3</v>
      </c>
      <c r="B19" s="13" t="s">
        <v>140</v>
      </c>
      <c r="C19" s="23">
        <f t="shared" si="8"/>
        <v>6</v>
      </c>
      <c r="D19" s="46">
        <f t="shared" si="9"/>
        <v>1.2</v>
      </c>
      <c r="F19" s="12" t="s">
        <v>3</v>
      </c>
      <c r="G19" s="13" t="s">
        <v>98</v>
      </c>
      <c r="H19" s="23">
        <f t="shared" si="10"/>
        <v>12</v>
      </c>
      <c r="I19" s="46">
        <f t="shared" si="11"/>
        <v>2.4</v>
      </c>
      <c r="K19" s="12" t="s">
        <v>3</v>
      </c>
      <c r="L19" s="13" t="s">
        <v>262</v>
      </c>
      <c r="M19" s="23">
        <f t="shared" si="12"/>
        <v>9</v>
      </c>
      <c r="N19" s="46">
        <f t="shared" si="13"/>
        <v>1.8</v>
      </c>
      <c r="P19" s="25">
        <v>3</v>
      </c>
      <c r="Q19" s="6" t="s">
        <v>92</v>
      </c>
      <c r="R19" s="5">
        <v>9</v>
      </c>
      <c r="S19" s="30">
        <v>1.8</v>
      </c>
      <c r="T19" s="5" t="s">
        <v>510</v>
      </c>
      <c r="U19" s="25">
        <v>4</v>
      </c>
      <c r="V19" s="16" t="s">
        <v>19</v>
      </c>
      <c r="W19" s="5">
        <v>3</v>
      </c>
      <c r="X19" s="30">
        <v>0.75</v>
      </c>
      <c r="Y19" s="5" t="s">
        <v>509</v>
      </c>
    </row>
    <row r="20" spans="1:28" s="6" customFormat="1" ht="22.5" customHeight="1" x14ac:dyDescent="0.25">
      <c r="A20" s="12" t="s">
        <v>4</v>
      </c>
      <c r="B20" s="13" t="s">
        <v>65</v>
      </c>
      <c r="C20" s="23">
        <f t="shared" si="8"/>
        <v>3</v>
      </c>
      <c r="D20" s="46">
        <f t="shared" si="9"/>
        <v>0.6</v>
      </c>
      <c r="F20" s="12" t="s">
        <v>4</v>
      </c>
      <c r="G20" s="13" t="s">
        <v>131</v>
      </c>
      <c r="H20" s="23">
        <f t="shared" si="10"/>
        <v>15</v>
      </c>
      <c r="I20" s="46">
        <f t="shared" si="11"/>
        <v>3</v>
      </c>
      <c r="K20" s="12" t="s">
        <v>4</v>
      </c>
      <c r="L20" s="13" t="s">
        <v>64</v>
      </c>
      <c r="M20" s="23">
        <f t="shared" si="12"/>
        <v>10</v>
      </c>
      <c r="N20" s="46">
        <f t="shared" si="13"/>
        <v>2</v>
      </c>
      <c r="P20" s="25">
        <v>4</v>
      </c>
      <c r="Q20" s="6" t="s">
        <v>132</v>
      </c>
      <c r="R20" s="5">
        <v>6</v>
      </c>
      <c r="S20" s="30">
        <v>1.2</v>
      </c>
      <c r="T20" s="5" t="s">
        <v>510</v>
      </c>
      <c r="U20" s="26">
        <v>5</v>
      </c>
      <c r="V20" s="33" t="s">
        <v>20</v>
      </c>
      <c r="W20" s="31">
        <v>0</v>
      </c>
      <c r="X20" s="32">
        <v>0</v>
      </c>
      <c r="Y20" s="5" t="s">
        <v>509</v>
      </c>
    </row>
    <row r="21" spans="1:28" s="6" customFormat="1" ht="22.5" customHeight="1" x14ac:dyDescent="0.25">
      <c r="A21" s="12" t="s">
        <v>5</v>
      </c>
      <c r="B21" s="13" t="s">
        <v>154</v>
      </c>
      <c r="C21" s="23">
        <f t="shared" si="8"/>
        <v>3</v>
      </c>
      <c r="D21" s="46">
        <f t="shared" si="9"/>
        <v>0.6</v>
      </c>
      <c r="F21" s="12" t="s">
        <v>5</v>
      </c>
      <c r="G21" s="13" t="s">
        <v>61</v>
      </c>
      <c r="H21" s="23">
        <f t="shared" si="10"/>
        <v>12</v>
      </c>
      <c r="I21" s="46">
        <f t="shared" si="11"/>
        <v>2.4</v>
      </c>
      <c r="K21" s="12" t="s">
        <v>5</v>
      </c>
      <c r="L21" s="13" t="s">
        <v>113</v>
      </c>
      <c r="M21" s="23">
        <f t="shared" si="12"/>
        <v>15</v>
      </c>
      <c r="N21" s="46">
        <f t="shared" si="13"/>
        <v>3</v>
      </c>
      <c r="P21" s="25">
        <v>5</v>
      </c>
      <c r="Q21" s="6" t="s">
        <v>134</v>
      </c>
      <c r="R21" s="5">
        <v>3</v>
      </c>
      <c r="S21" s="30">
        <v>0.6</v>
      </c>
      <c r="T21" s="5" t="s">
        <v>510</v>
      </c>
      <c r="V21" s="16"/>
      <c r="W21" s="5"/>
      <c r="X21" s="29" t="s">
        <v>466</v>
      </c>
      <c r="Y21" s="5"/>
    </row>
    <row r="22" spans="1:28" s="6" customFormat="1" ht="22.5" customHeight="1" x14ac:dyDescent="0.25">
      <c r="A22" s="12" t="s">
        <v>6</v>
      </c>
      <c r="B22" s="13" t="s">
        <v>469</v>
      </c>
      <c r="C22" s="23">
        <f t="shared" si="8"/>
        <v>3</v>
      </c>
      <c r="D22" s="46">
        <f t="shared" si="9"/>
        <v>0.6</v>
      </c>
      <c r="F22" s="12" t="s">
        <v>6</v>
      </c>
      <c r="G22" s="13" t="s">
        <v>95</v>
      </c>
      <c r="H22" s="23">
        <f t="shared" si="10"/>
        <v>15</v>
      </c>
      <c r="I22" s="46">
        <f t="shared" si="11"/>
        <v>3</v>
      </c>
      <c r="K22" s="12" t="s">
        <v>6</v>
      </c>
      <c r="L22" s="13" t="s">
        <v>157</v>
      </c>
      <c r="M22" s="23">
        <f t="shared" si="12"/>
        <v>15</v>
      </c>
      <c r="N22" s="46">
        <f t="shared" si="13"/>
        <v>3</v>
      </c>
      <c r="P22" s="26">
        <v>6</v>
      </c>
      <c r="Q22" s="65" t="s">
        <v>100</v>
      </c>
      <c r="R22" s="31">
        <v>0</v>
      </c>
      <c r="S22" s="32">
        <v>0</v>
      </c>
      <c r="T22" s="5" t="s">
        <v>508</v>
      </c>
      <c r="U22" s="62">
        <v>1</v>
      </c>
      <c r="V22" s="64" t="s">
        <v>493</v>
      </c>
      <c r="W22" s="57">
        <v>12</v>
      </c>
      <c r="X22" s="63">
        <v>3</v>
      </c>
      <c r="Y22" s="5" t="s">
        <v>507</v>
      </c>
    </row>
    <row r="23" spans="1:28" s="6" customFormat="1" ht="22.5" customHeight="1" x14ac:dyDescent="0.25">
      <c r="A23" s="12" t="s">
        <v>7</v>
      </c>
      <c r="B23" s="13" t="s">
        <v>125</v>
      </c>
      <c r="C23" s="23">
        <f t="shared" si="8"/>
        <v>7</v>
      </c>
      <c r="D23" s="46">
        <f t="shared" si="9"/>
        <v>1.4</v>
      </c>
      <c r="F23" s="12" t="s">
        <v>7</v>
      </c>
      <c r="G23" s="13" t="s">
        <v>146</v>
      </c>
      <c r="H23" s="23">
        <f t="shared" si="10"/>
        <v>15</v>
      </c>
      <c r="I23" s="46">
        <f t="shared" si="11"/>
        <v>3</v>
      </c>
      <c r="K23" s="12" t="s">
        <v>7</v>
      </c>
      <c r="L23" s="13" t="s">
        <v>110</v>
      </c>
      <c r="M23" s="23">
        <f t="shared" si="12"/>
        <v>12</v>
      </c>
      <c r="N23" s="46">
        <f t="shared" si="13"/>
        <v>3</v>
      </c>
      <c r="R23" s="5"/>
      <c r="S23" s="29" t="s">
        <v>466</v>
      </c>
      <c r="T23" s="5"/>
      <c r="U23" s="25">
        <v>2</v>
      </c>
      <c r="V23" s="16" t="s">
        <v>43</v>
      </c>
      <c r="W23" s="5">
        <v>9</v>
      </c>
      <c r="X23" s="30">
        <v>2.25</v>
      </c>
      <c r="Y23" s="5" t="s">
        <v>507</v>
      </c>
    </row>
    <row r="24" spans="1:28" s="6" customFormat="1" ht="22.5" customHeight="1" x14ac:dyDescent="0.25">
      <c r="A24" s="14" t="s">
        <v>8</v>
      </c>
      <c r="B24" s="15" t="s">
        <v>385</v>
      </c>
      <c r="C24" s="23">
        <f t="shared" si="8"/>
        <v>6</v>
      </c>
      <c r="D24" s="46">
        <f t="shared" si="9"/>
        <v>1.2</v>
      </c>
      <c r="F24" s="14" t="s">
        <v>8</v>
      </c>
      <c r="G24" s="15" t="s">
        <v>155</v>
      </c>
      <c r="H24" s="23">
        <f t="shared" si="10"/>
        <v>12</v>
      </c>
      <c r="I24" s="46">
        <f t="shared" si="11"/>
        <v>2.4</v>
      </c>
      <c r="K24" s="14" t="s">
        <v>8</v>
      </c>
      <c r="L24" s="15" t="s">
        <v>127</v>
      </c>
      <c r="M24" s="23">
        <f t="shared" si="12"/>
        <v>13</v>
      </c>
      <c r="N24" s="46">
        <f t="shared" si="13"/>
        <v>2.6</v>
      </c>
      <c r="P24" s="62">
        <v>1</v>
      </c>
      <c r="Q24" s="58" t="s">
        <v>135</v>
      </c>
      <c r="R24" s="57">
        <v>13</v>
      </c>
      <c r="S24" s="63">
        <v>2.6</v>
      </c>
      <c r="T24" s="5" t="s">
        <v>507</v>
      </c>
      <c r="U24" s="25">
        <v>3</v>
      </c>
      <c r="V24" s="16" t="s">
        <v>396</v>
      </c>
      <c r="W24" s="5">
        <v>6</v>
      </c>
      <c r="X24" s="30">
        <v>1.5</v>
      </c>
      <c r="Y24" s="5" t="s">
        <v>507</v>
      </c>
    </row>
    <row r="25" spans="1:28" s="6" customFormat="1" ht="22.5" customHeight="1" x14ac:dyDescent="0.25">
      <c r="C25" s="23"/>
      <c r="D25" s="46"/>
      <c r="H25" s="23"/>
      <c r="I25" s="46"/>
      <c r="K25" s="5"/>
      <c r="L25" s="16"/>
      <c r="M25" s="23"/>
      <c r="N25" s="46"/>
      <c r="P25" s="25">
        <v>2</v>
      </c>
      <c r="Q25" s="6" t="s">
        <v>145</v>
      </c>
      <c r="R25" s="5">
        <v>10</v>
      </c>
      <c r="S25" s="30">
        <v>2</v>
      </c>
      <c r="T25" s="5" t="s">
        <v>509</v>
      </c>
      <c r="U25" s="25">
        <v>4</v>
      </c>
      <c r="V25" s="16" t="s">
        <v>397</v>
      </c>
      <c r="W25" s="5">
        <v>3</v>
      </c>
      <c r="X25" s="30">
        <v>0.75</v>
      </c>
      <c r="Y25" s="5" t="s">
        <v>509</v>
      </c>
    </row>
    <row r="26" spans="1:28" s="6" customFormat="1" ht="22.5" customHeight="1" x14ac:dyDescent="0.25">
      <c r="A26" s="5"/>
      <c r="C26" s="23"/>
      <c r="D26" s="46"/>
      <c r="F26" s="5"/>
      <c r="H26" s="23"/>
      <c r="I26" s="46"/>
      <c r="K26" s="5"/>
      <c r="M26" s="23"/>
      <c r="N26" s="46"/>
      <c r="P26" s="25">
        <v>3</v>
      </c>
      <c r="Q26" s="6" t="s">
        <v>139</v>
      </c>
      <c r="R26" s="5">
        <v>9</v>
      </c>
      <c r="S26" s="30">
        <v>1.8</v>
      </c>
      <c r="T26" s="181" t="s">
        <v>509</v>
      </c>
      <c r="U26" s="26">
        <v>5</v>
      </c>
      <c r="V26" s="33" t="s">
        <v>494</v>
      </c>
      <c r="W26" s="31">
        <v>0</v>
      </c>
      <c r="X26" s="32">
        <v>0</v>
      </c>
      <c r="Y26" s="5" t="s">
        <v>509</v>
      </c>
    </row>
    <row r="27" spans="1:28" s="6" customFormat="1" ht="22.5" customHeight="1" x14ac:dyDescent="0.25">
      <c r="A27" s="7" t="s">
        <v>0</v>
      </c>
      <c r="B27" s="8" t="s">
        <v>532</v>
      </c>
      <c r="C27" s="82"/>
      <c r="D27" s="83"/>
      <c r="F27" s="7" t="s">
        <v>0</v>
      </c>
      <c r="G27" s="8" t="s">
        <v>532</v>
      </c>
      <c r="H27" s="82"/>
      <c r="I27" s="83"/>
      <c r="K27" s="7" t="s">
        <v>0</v>
      </c>
      <c r="L27" s="8" t="s">
        <v>532</v>
      </c>
      <c r="M27" s="82"/>
      <c r="N27" s="83"/>
      <c r="P27" s="25">
        <v>4</v>
      </c>
      <c r="Q27" s="6" t="s">
        <v>141</v>
      </c>
      <c r="R27" s="5">
        <v>9</v>
      </c>
      <c r="S27" s="30">
        <v>1.8</v>
      </c>
      <c r="T27" s="5" t="s">
        <v>510</v>
      </c>
      <c r="V27" s="16"/>
      <c r="W27" s="5"/>
      <c r="X27" s="29" t="s">
        <v>466</v>
      </c>
      <c r="Y27" s="5"/>
    </row>
    <row r="28" spans="1:28" s="9" customFormat="1" ht="22.5" customHeight="1" x14ac:dyDescent="0.25">
      <c r="A28" s="198" t="s">
        <v>216</v>
      </c>
      <c r="B28" s="199"/>
      <c r="C28" s="22" t="s">
        <v>168</v>
      </c>
      <c r="D28" s="27" t="s">
        <v>167</v>
      </c>
      <c r="F28" s="198" t="s">
        <v>217</v>
      </c>
      <c r="G28" s="199"/>
      <c r="H28" s="22" t="s">
        <v>168</v>
      </c>
      <c r="I28" s="27" t="s">
        <v>167</v>
      </c>
      <c r="K28" s="198" t="s">
        <v>218</v>
      </c>
      <c r="L28" s="199"/>
      <c r="M28" s="22" t="s">
        <v>168</v>
      </c>
      <c r="N28" s="27" t="s">
        <v>167</v>
      </c>
      <c r="P28" s="25">
        <v>5</v>
      </c>
      <c r="Q28" s="6" t="s">
        <v>468</v>
      </c>
      <c r="R28" s="5">
        <v>3</v>
      </c>
      <c r="S28" s="30">
        <v>0.6</v>
      </c>
      <c r="T28" s="5" t="s">
        <v>510</v>
      </c>
      <c r="U28" s="62">
        <v>1</v>
      </c>
      <c r="V28" s="64" t="s">
        <v>44</v>
      </c>
      <c r="W28" s="57">
        <v>9</v>
      </c>
      <c r="X28" s="63">
        <v>2.25</v>
      </c>
      <c r="Y28" s="5" t="s">
        <v>507</v>
      </c>
      <c r="Z28" s="6"/>
      <c r="AA28" s="6"/>
      <c r="AB28" s="6"/>
    </row>
    <row r="29" spans="1:28" s="6" customFormat="1" ht="22.5" customHeight="1" x14ac:dyDescent="0.25">
      <c r="A29" s="10" t="s">
        <v>1</v>
      </c>
      <c r="B29" s="11" t="s">
        <v>128</v>
      </c>
      <c r="C29" s="23">
        <f t="shared" ref="C29:C36" si="14">VLOOKUP(B29,$Q:$S,2,0)</f>
        <v>6</v>
      </c>
      <c r="D29" s="46">
        <f t="shared" ref="D29:D36" si="15">VLOOKUP(B29,$Q:$S,3,0)</f>
        <v>1.2</v>
      </c>
      <c r="F29" s="10" t="s">
        <v>1</v>
      </c>
      <c r="G29" s="11" t="s">
        <v>106</v>
      </c>
      <c r="H29" s="23">
        <f t="shared" ref="H29:H36" si="16">VLOOKUP(G29,$Q:$S,2,0)</f>
        <v>0</v>
      </c>
      <c r="I29" s="46">
        <f t="shared" ref="I29:I36" si="17">VLOOKUP(G29,$Q:$S,3,0)</f>
        <v>0</v>
      </c>
      <c r="K29" s="10" t="s">
        <v>1</v>
      </c>
      <c r="L29" s="11" t="s">
        <v>103</v>
      </c>
      <c r="M29" s="23">
        <f t="shared" ref="M29:M36" si="18">VLOOKUP(L29,$Q:$S,2,0)</f>
        <v>7</v>
      </c>
      <c r="N29" s="46">
        <f t="shared" ref="N29:N36" si="19">VLOOKUP(L29,$Q:$S,3,0)</f>
        <v>1.4</v>
      </c>
      <c r="P29" s="26">
        <v>6</v>
      </c>
      <c r="Q29" s="65" t="s">
        <v>106</v>
      </c>
      <c r="R29" s="31">
        <v>0</v>
      </c>
      <c r="S29" s="32">
        <v>0</v>
      </c>
      <c r="T29" s="5" t="s">
        <v>508</v>
      </c>
      <c r="U29" s="25">
        <v>2</v>
      </c>
      <c r="V29" s="16" t="s">
        <v>45</v>
      </c>
      <c r="W29" s="5">
        <v>7</v>
      </c>
      <c r="X29" s="30">
        <v>1.75</v>
      </c>
      <c r="Y29" s="5" t="s">
        <v>507</v>
      </c>
    </row>
    <row r="30" spans="1:28" s="6" customFormat="1" ht="22.5" customHeight="1" x14ac:dyDescent="0.25">
      <c r="A30" s="12" t="s">
        <v>2</v>
      </c>
      <c r="B30" s="13" t="s">
        <v>100</v>
      </c>
      <c r="C30" s="23">
        <f t="shared" si="14"/>
        <v>0</v>
      </c>
      <c r="D30" s="46">
        <f t="shared" si="15"/>
        <v>0</v>
      </c>
      <c r="F30" s="12" t="s">
        <v>2</v>
      </c>
      <c r="G30" s="13" t="s">
        <v>142</v>
      </c>
      <c r="H30" s="23">
        <f t="shared" si="16"/>
        <v>0</v>
      </c>
      <c r="I30" s="46">
        <f t="shared" si="17"/>
        <v>0</v>
      </c>
      <c r="K30" s="12" t="s">
        <v>2</v>
      </c>
      <c r="L30" s="13" t="s">
        <v>121</v>
      </c>
      <c r="M30" s="23">
        <f t="shared" si="18"/>
        <v>0</v>
      </c>
      <c r="N30" s="46">
        <f t="shared" si="19"/>
        <v>0</v>
      </c>
      <c r="R30" s="5"/>
      <c r="S30" s="29" t="s">
        <v>466</v>
      </c>
      <c r="T30" s="5"/>
      <c r="U30" s="25">
        <v>3</v>
      </c>
      <c r="V30" s="16" t="s">
        <v>41</v>
      </c>
      <c r="W30" s="5">
        <v>5</v>
      </c>
      <c r="X30" s="30">
        <v>1.25</v>
      </c>
      <c r="Y30" s="5" t="s">
        <v>509</v>
      </c>
    </row>
    <row r="31" spans="1:28" s="6" customFormat="1" ht="22.5" customHeight="1" x14ac:dyDescent="0.25">
      <c r="A31" s="12" t="s">
        <v>3</v>
      </c>
      <c r="B31" s="13" t="s">
        <v>470</v>
      </c>
      <c r="C31" s="23">
        <f t="shared" si="14"/>
        <v>9</v>
      </c>
      <c r="D31" s="46">
        <f t="shared" si="15"/>
        <v>1.8</v>
      </c>
      <c r="F31" s="12" t="s">
        <v>3</v>
      </c>
      <c r="G31" s="13" t="s">
        <v>148</v>
      </c>
      <c r="H31" s="23">
        <f t="shared" si="16"/>
        <v>8</v>
      </c>
      <c r="I31" s="46">
        <f t="shared" si="17"/>
        <v>1.6</v>
      </c>
      <c r="K31" s="12" t="s">
        <v>3</v>
      </c>
      <c r="L31" s="13" t="s">
        <v>80</v>
      </c>
      <c r="M31" s="23">
        <f t="shared" si="18"/>
        <v>6</v>
      </c>
      <c r="N31" s="46">
        <f t="shared" si="19"/>
        <v>1.2</v>
      </c>
      <c r="P31" s="62">
        <v>1</v>
      </c>
      <c r="Q31" s="58" t="s">
        <v>144</v>
      </c>
      <c r="R31" s="57">
        <v>15</v>
      </c>
      <c r="S31" s="63">
        <v>3</v>
      </c>
      <c r="T31" s="5" t="s">
        <v>507</v>
      </c>
      <c r="U31" s="25">
        <v>4</v>
      </c>
      <c r="V31" s="16" t="s">
        <v>419</v>
      </c>
      <c r="W31" s="5">
        <v>4</v>
      </c>
      <c r="X31" s="30">
        <v>1</v>
      </c>
      <c r="Y31" s="5" t="s">
        <v>509</v>
      </c>
    </row>
    <row r="32" spans="1:28" s="6" customFormat="1" ht="22.5" customHeight="1" x14ac:dyDescent="0.25">
      <c r="A32" s="12" t="s">
        <v>4</v>
      </c>
      <c r="B32" s="13" t="s">
        <v>99</v>
      </c>
      <c r="C32" s="23">
        <f t="shared" si="14"/>
        <v>15</v>
      </c>
      <c r="D32" s="46">
        <f t="shared" si="15"/>
        <v>3</v>
      </c>
      <c r="F32" s="12" t="s">
        <v>4</v>
      </c>
      <c r="G32" s="13" t="s">
        <v>153</v>
      </c>
      <c r="H32" s="23">
        <f t="shared" si="16"/>
        <v>12</v>
      </c>
      <c r="I32" s="46">
        <f t="shared" si="17"/>
        <v>2.4</v>
      </c>
      <c r="K32" s="12" t="s">
        <v>4</v>
      </c>
      <c r="L32" s="13" t="s">
        <v>75</v>
      </c>
      <c r="M32" s="23">
        <f t="shared" si="18"/>
        <v>12</v>
      </c>
      <c r="N32" s="46">
        <f t="shared" si="19"/>
        <v>2.4</v>
      </c>
      <c r="P32" s="25">
        <v>2</v>
      </c>
      <c r="Q32" s="6" t="s">
        <v>108</v>
      </c>
      <c r="R32" s="5">
        <v>12</v>
      </c>
      <c r="S32" s="30">
        <v>2.4</v>
      </c>
      <c r="T32" s="181" t="s">
        <v>507</v>
      </c>
      <c r="U32" s="26">
        <v>5</v>
      </c>
      <c r="V32" s="33" t="s">
        <v>46</v>
      </c>
      <c r="W32" s="31">
        <v>3</v>
      </c>
      <c r="X32" s="32">
        <v>0.75</v>
      </c>
      <c r="Y32" s="5" t="s">
        <v>509</v>
      </c>
    </row>
    <row r="33" spans="1:28" s="6" customFormat="1" ht="22.5" customHeight="1" x14ac:dyDescent="0.25">
      <c r="A33" s="12" t="s">
        <v>5</v>
      </c>
      <c r="B33" s="13" t="s">
        <v>138</v>
      </c>
      <c r="C33" s="23">
        <f t="shared" si="14"/>
        <v>6</v>
      </c>
      <c r="D33" s="46">
        <f t="shared" si="15"/>
        <v>1.2</v>
      </c>
      <c r="F33" s="12" t="s">
        <v>5</v>
      </c>
      <c r="G33" s="13" t="s">
        <v>477</v>
      </c>
      <c r="H33" s="23">
        <f t="shared" si="16"/>
        <v>9</v>
      </c>
      <c r="I33" s="46">
        <f t="shared" si="17"/>
        <v>1.8</v>
      </c>
      <c r="K33" s="12" t="s">
        <v>5</v>
      </c>
      <c r="L33" s="13" t="s">
        <v>96</v>
      </c>
      <c r="M33" s="23">
        <f t="shared" si="18"/>
        <v>11</v>
      </c>
      <c r="N33" s="46">
        <f t="shared" si="19"/>
        <v>2.2000000000000002</v>
      </c>
      <c r="P33" s="25">
        <v>3</v>
      </c>
      <c r="Q33" s="6" t="s">
        <v>143</v>
      </c>
      <c r="R33" s="5">
        <v>9</v>
      </c>
      <c r="S33" s="30">
        <v>1.8</v>
      </c>
      <c r="T33" s="181" t="s">
        <v>509</v>
      </c>
      <c r="V33" s="16"/>
      <c r="W33" s="5"/>
      <c r="X33" s="29" t="s">
        <v>466</v>
      </c>
      <c r="Y33" s="5"/>
    </row>
    <row r="34" spans="1:28" s="6" customFormat="1" ht="22.5" customHeight="1" x14ac:dyDescent="0.25">
      <c r="A34" s="12" t="s">
        <v>6</v>
      </c>
      <c r="B34" s="13" t="s">
        <v>101</v>
      </c>
      <c r="C34" s="23">
        <f t="shared" si="14"/>
        <v>5</v>
      </c>
      <c r="D34" s="46">
        <f t="shared" si="15"/>
        <v>1</v>
      </c>
      <c r="F34" s="12" t="s">
        <v>6</v>
      </c>
      <c r="G34" s="13" t="s">
        <v>55</v>
      </c>
      <c r="H34" s="23">
        <f t="shared" si="16"/>
        <v>6</v>
      </c>
      <c r="I34" s="46">
        <f t="shared" si="17"/>
        <v>1.2</v>
      </c>
      <c r="K34" s="12" t="s">
        <v>6</v>
      </c>
      <c r="L34" s="13" t="s">
        <v>483</v>
      </c>
      <c r="M34" s="23">
        <f t="shared" si="18"/>
        <v>8</v>
      </c>
      <c r="N34" s="46">
        <f t="shared" si="19"/>
        <v>2</v>
      </c>
      <c r="P34" s="25">
        <v>4</v>
      </c>
      <c r="Q34" s="6" t="s">
        <v>140</v>
      </c>
      <c r="R34" s="5">
        <v>6</v>
      </c>
      <c r="S34" s="30">
        <v>1.2</v>
      </c>
      <c r="T34" s="5" t="s">
        <v>510</v>
      </c>
      <c r="U34" s="62">
        <v>1</v>
      </c>
      <c r="V34" s="64" t="s">
        <v>39</v>
      </c>
      <c r="W34" s="57">
        <v>12</v>
      </c>
      <c r="X34" s="63">
        <v>3</v>
      </c>
      <c r="Y34" s="5" t="s">
        <v>507</v>
      </c>
    </row>
    <row r="35" spans="1:28" s="6" customFormat="1" ht="22.5" customHeight="1" x14ac:dyDescent="0.25">
      <c r="A35" s="12" t="s">
        <v>7</v>
      </c>
      <c r="B35" s="13" t="s">
        <v>263</v>
      </c>
      <c r="C35" s="23">
        <f t="shared" si="14"/>
        <v>7</v>
      </c>
      <c r="D35" s="46">
        <f t="shared" si="15"/>
        <v>1.4</v>
      </c>
      <c r="F35" s="12" t="s">
        <v>7</v>
      </c>
      <c r="G35" s="13" t="s">
        <v>504</v>
      </c>
      <c r="H35" s="23">
        <f t="shared" si="16"/>
        <v>12</v>
      </c>
      <c r="I35" s="46">
        <f t="shared" si="17"/>
        <v>2.4</v>
      </c>
      <c r="K35" s="12" t="s">
        <v>7</v>
      </c>
      <c r="L35" s="13" t="s">
        <v>407</v>
      </c>
      <c r="M35" s="23">
        <f t="shared" si="18"/>
        <v>9</v>
      </c>
      <c r="N35" s="46">
        <f t="shared" si="19"/>
        <v>1.8</v>
      </c>
      <c r="P35" s="25">
        <v>5</v>
      </c>
      <c r="Q35" s="6" t="s">
        <v>65</v>
      </c>
      <c r="R35" s="5">
        <v>3</v>
      </c>
      <c r="S35" s="30">
        <v>0.6</v>
      </c>
      <c r="T35" s="5" t="s">
        <v>510</v>
      </c>
      <c r="U35" s="25">
        <v>2</v>
      </c>
      <c r="V35" s="16" t="s">
        <v>11</v>
      </c>
      <c r="W35" s="5">
        <v>9</v>
      </c>
      <c r="X35" s="30">
        <v>2.25</v>
      </c>
      <c r="Y35" s="5" t="s">
        <v>507</v>
      </c>
    </row>
    <row r="36" spans="1:28" s="6" customFormat="1" ht="22.5" customHeight="1" x14ac:dyDescent="0.25">
      <c r="A36" s="14" t="s">
        <v>8</v>
      </c>
      <c r="B36" s="15" t="s">
        <v>137</v>
      </c>
      <c r="C36" s="23">
        <f t="shared" si="14"/>
        <v>6</v>
      </c>
      <c r="D36" s="46">
        <f t="shared" si="15"/>
        <v>1.2</v>
      </c>
      <c r="F36" s="14" t="s">
        <v>8</v>
      </c>
      <c r="G36" s="15" t="s">
        <v>66</v>
      </c>
      <c r="H36" s="23">
        <f t="shared" si="16"/>
        <v>12</v>
      </c>
      <c r="I36" s="46">
        <f t="shared" si="17"/>
        <v>2.4</v>
      </c>
      <c r="K36" s="14" t="s">
        <v>8</v>
      </c>
      <c r="L36" s="15" t="s">
        <v>57</v>
      </c>
      <c r="M36" s="23">
        <f t="shared" si="18"/>
        <v>8</v>
      </c>
      <c r="N36" s="46">
        <f t="shared" si="19"/>
        <v>1.6</v>
      </c>
      <c r="P36" s="26">
        <v>6</v>
      </c>
      <c r="Q36" s="65" t="s">
        <v>142</v>
      </c>
      <c r="R36" s="31">
        <v>0</v>
      </c>
      <c r="S36" s="32">
        <v>0</v>
      </c>
      <c r="T36" s="5" t="s">
        <v>508</v>
      </c>
      <c r="U36" s="25">
        <v>3</v>
      </c>
      <c r="V36" s="16" t="s">
        <v>391</v>
      </c>
      <c r="W36" s="5">
        <v>6</v>
      </c>
      <c r="X36" s="30">
        <v>1.5</v>
      </c>
      <c r="Y36" s="5" t="s">
        <v>507</v>
      </c>
    </row>
    <row r="37" spans="1:28" s="6" customFormat="1" ht="22.5" customHeight="1" x14ac:dyDescent="0.25">
      <c r="C37" s="23"/>
      <c r="D37" s="46"/>
      <c r="H37" s="23"/>
      <c r="I37" s="46"/>
      <c r="K37" s="5"/>
      <c r="L37" s="16"/>
      <c r="M37" s="23"/>
      <c r="N37" s="46"/>
      <c r="R37" s="5"/>
      <c r="S37" s="29" t="s">
        <v>466</v>
      </c>
      <c r="T37" s="5"/>
      <c r="U37" s="25">
        <v>4</v>
      </c>
      <c r="V37" s="16" t="s">
        <v>42</v>
      </c>
      <c r="W37" s="5">
        <v>3</v>
      </c>
      <c r="X37" s="30">
        <v>0.75</v>
      </c>
      <c r="Y37" s="5" t="s">
        <v>509</v>
      </c>
    </row>
    <row r="38" spans="1:28" s="6" customFormat="1" ht="22.5" customHeight="1" x14ac:dyDescent="0.25">
      <c r="A38" s="5"/>
      <c r="C38" s="23"/>
      <c r="D38" s="46"/>
      <c r="F38" s="5"/>
      <c r="H38" s="23"/>
      <c r="I38" s="46"/>
      <c r="K38" s="5"/>
      <c r="M38" s="23"/>
      <c r="N38" s="46"/>
      <c r="P38" s="62">
        <v>1</v>
      </c>
      <c r="Q38" s="58" t="s">
        <v>122</v>
      </c>
      <c r="R38" s="57">
        <v>15</v>
      </c>
      <c r="S38" s="63">
        <v>3</v>
      </c>
      <c r="T38" s="5" t="s">
        <v>507</v>
      </c>
      <c r="U38" s="26">
        <v>5</v>
      </c>
      <c r="V38" s="33" t="s">
        <v>261</v>
      </c>
      <c r="W38" s="31">
        <v>0</v>
      </c>
      <c r="X38" s="32">
        <v>0</v>
      </c>
      <c r="Y38" s="5" t="s">
        <v>509</v>
      </c>
    </row>
    <row r="39" spans="1:28" s="6" customFormat="1" ht="22.5" customHeight="1" x14ac:dyDescent="0.25">
      <c r="A39" s="7" t="s">
        <v>0</v>
      </c>
      <c r="B39" s="8" t="s">
        <v>532</v>
      </c>
      <c r="C39" s="82"/>
      <c r="D39" s="83"/>
      <c r="F39" s="7" t="s">
        <v>0</v>
      </c>
      <c r="G39" s="8" t="s">
        <v>532</v>
      </c>
      <c r="H39" s="82"/>
      <c r="I39" s="83"/>
      <c r="K39" s="7" t="s">
        <v>0</v>
      </c>
      <c r="L39" s="8" t="s">
        <v>532</v>
      </c>
      <c r="M39" s="82"/>
      <c r="N39" s="83"/>
      <c r="P39" s="25">
        <v>2</v>
      </c>
      <c r="Q39" s="6" t="s">
        <v>124</v>
      </c>
      <c r="R39" s="5">
        <v>12</v>
      </c>
      <c r="S39" s="30">
        <v>2.4</v>
      </c>
      <c r="T39" s="182" t="s">
        <v>507</v>
      </c>
      <c r="U39" s="6" t="s">
        <v>402</v>
      </c>
      <c r="V39" s="6" t="s">
        <v>403</v>
      </c>
      <c r="W39" s="5" t="s">
        <v>404</v>
      </c>
      <c r="X39" s="29" t="s">
        <v>405</v>
      </c>
      <c r="Y39" s="5"/>
    </row>
    <row r="40" spans="1:28" s="9" customFormat="1" ht="22.5" customHeight="1" x14ac:dyDescent="0.25">
      <c r="A40" s="198" t="s">
        <v>219</v>
      </c>
      <c r="B40" s="199"/>
      <c r="C40" s="22" t="s">
        <v>168</v>
      </c>
      <c r="D40" s="27" t="s">
        <v>167</v>
      </c>
      <c r="F40" s="198" t="s">
        <v>220</v>
      </c>
      <c r="G40" s="199"/>
      <c r="H40" s="22" t="s">
        <v>168</v>
      </c>
      <c r="I40" s="27" t="s">
        <v>167</v>
      </c>
      <c r="K40" s="198" t="s">
        <v>221</v>
      </c>
      <c r="L40" s="199"/>
      <c r="M40" s="22" t="s">
        <v>168</v>
      </c>
      <c r="N40" s="27" t="s">
        <v>167</v>
      </c>
      <c r="P40" s="25">
        <v>3</v>
      </c>
      <c r="Q40" s="6" t="s">
        <v>88</v>
      </c>
      <c r="R40" s="5">
        <v>9</v>
      </c>
      <c r="S40" s="30">
        <v>1.8</v>
      </c>
      <c r="T40" s="181" t="s">
        <v>509</v>
      </c>
      <c r="U40" s="62">
        <v>1</v>
      </c>
      <c r="V40" s="64" t="s">
        <v>260</v>
      </c>
      <c r="W40" s="57">
        <v>10</v>
      </c>
      <c r="X40" s="63">
        <v>2.5</v>
      </c>
      <c r="Y40" s="29" t="s">
        <v>447</v>
      </c>
      <c r="Z40" s="6"/>
      <c r="AA40" s="6"/>
      <c r="AB40" s="6"/>
    </row>
    <row r="41" spans="1:28" s="6" customFormat="1" ht="22.5" customHeight="1" x14ac:dyDescent="0.25">
      <c r="A41" s="10" t="s">
        <v>1</v>
      </c>
      <c r="B41" s="11" t="s">
        <v>85</v>
      </c>
      <c r="C41" s="23">
        <f t="shared" ref="C41:C48" si="20">VLOOKUP(B41,$Q:$S,2,0)</f>
        <v>5</v>
      </c>
      <c r="D41" s="46">
        <f t="shared" ref="D41:D48" si="21">VLOOKUP(B41,$Q:$S,3,0)</f>
        <v>1</v>
      </c>
      <c r="F41" s="10" t="s">
        <v>1</v>
      </c>
      <c r="G41" s="11" t="s">
        <v>111</v>
      </c>
      <c r="H41" s="23">
        <f t="shared" ref="H41:H48" si="22">VLOOKUP(G41,$Q:$S,2,0)</f>
        <v>9</v>
      </c>
      <c r="I41" s="46">
        <f t="shared" ref="I41:I48" si="23">VLOOKUP(G41,$Q:$S,3,0)</f>
        <v>1.8</v>
      </c>
      <c r="K41" s="10" t="s">
        <v>1</v>
      </c>
      <c r="L41" s="11" t="s">
        <v>150</v>
      </c>
      <c r="M41" s="23">
        <f t="shared" ref="M41:M48" si="24">VLOOKUP(L41,$Q:$S,2,0)</f>
        <v>6</v>
      </c>
      <c r="N41" s="46">
        <f t="shared" ref="N41:N48" si="25">VLOOKUP(L41,$Q:$S,3,0)</f>
        <v>1.2</v>
      </c>
      <c r="P41" s="25">
        <v>4</v>
      </c>
      <c r="Q41" s="6" t="s">
        <v>154</v>
      </c>
      <c r="R41" s="5">
        <v>3</v>
      </c>
      <c r="S41" s="30">
        <v>0.6</v>
      </c>
      <c r="T41" s="5" t="s">
        <v>510</v>
      </c>
      <c r="U41" s="25">
        <v>2</v>
      </c>
      <c r="V41" s="16" t="s">
        <v>258</v>
      </c>
      <c r="W41" s="5">
        <v>10</v>
      </c>
      <c r="X41" s="30">
        <v>2.5</v>
      </c>
      <c r="Y41" s="29" t="s">
        <v>447</v>
      </c>
    </row>
    <row r="42" spans="1:28" s="6" customFormat="1" ht="22.5" customHeight="1" x14ac:dyDescent="0.25">
      <c r="A42" s="12" t="s">
        <v>2</v>
      </c>
      <c r="B42" s="13" t="s">
        <v>161</v>
      </c>
      <c r="C42" s="23">
        <f t="shared" si="20"/>
        <v>15</v>
      </c>
      <c r="D42" s="46">
        <f t="shared" si="21"/>
        <v>3</v>
      </c>
      <c r="F42" s="12" t="s">
        <v>2</v>
      </c>
      <c r="G42" s="13" t="s">
        <v>165</v>
      </c>
      <c r="H42" s="23">
        <f t="shared" si="22"/>
        <v>6</v>
      </c>
      <c r="I42" s="46">
        <f t="shared" si="23"/>
        <v>1.2</v>
      </c>
      <c r="K42" s="12" t="s">
        <v>2</v>
      </c>
      <c r="L42" s="13" t="s">
        <v>471</v>
      </c>
      <c r="M42" s="23">
        <f t="shared" si="24"/>
        <v>3</v>
      </c>
      <c r="N42" s="46">
        <f t="shared" si="25"/>
        <v>0.6</v>
      </c>
      <c r="P42" s="25">
        <v>5</v>
      </c>
      <c r="Q42" s="6" t="s">
        <v>308</v>
      </c>
      <c r="R42" s="5">
        <v>3</v>
      </c>
      <c r="S42" s="30">
        <v>0.6</v>
      </c>
      <c r="T42" s="5" t="s">
        <v>510</v>
      </c>
      <c r="U42" s="25">
        <v>3</v>
      </c>
      <c r="V42" s="16" t="s">
        <v>413</v>
      </c>
      <c r="W42" s="5">
        <v>6</v>
      </c>
      <c r="X42" s="30">
        <v>1.5</v>
      </c>
      <c r="Y42" s="29" t="s">
        <v>447</v>
      </c>
    </row>
    <row r="43" spans="1:28" s="6" customFormat="1" ht="22.5" customHeight="1" x14ac:dyDescent="0.25">
      <c r="A43" s="12" t="s">
        <v>3</v>
      </c>
      <c r="B43" s="13" t="s">
        <v>239</v>
      </c>
      <c r="C43" s="23">
        <f t="shared" si="20"/>
        <v>6</v>
      </c>
      <c r="D43" s="46">
        <f t="shared" si="21"/>
        <v>1.2</v>
      </c>
      <c r="F43" s="12" t="s">
        <v>3</v>
      </c>
      <c r="G43" s="13" t="s">
        <v>166</v>
      </c>
      <c r="H43" s="23">
        <f t="shared" si="22"/>
        <v>15</v>
      </c>
      <c r="I43" s="46">
        <f t="shared" si="23"/>
        <v>3</v>
      </c>
      <c r="K43" s="12" t="s">
        <v>3</v>
      </c>
      <c r="L43" s="13" t="s">
        <v>52</v>
      </c>
      <c r="M43" s="23">
        <f t="shared" si="24"/>
        <v>4</v>
      </c>
      <c r="N43" s="46">
        <f t="shared" si="25"/>
        <v>0.8</v>
      </c>
      <c r="P43" s="26">
        <v>6</v>
      </c>
      <c r="Q43" s="65" t="s">
        <v>469</v>
      </c>
      <c r="R43" s="31">
        <v>3</v>
      </c>
      <c r="S43" s="32">
        <v>0.6</v>
      </c>
      <c r="T43" s="5" t="s">
        <v>510</v>
      </c>
      <c r="U43" s="25">
        <v>4</v>
      </c>
      <c r="V43" s="16" t="s">
        <v>495</v>
      </c>
      <c r="W43" s="5">
        <v>3</v>
      </c>
      <c r="X43" s="30">
        <v>0.75</v>
      </c>
      <c r="Y43" s="29" t="s">
        <v>447</v>
      </c>
    </row>
    <row r="44" spans="1:28" s="6" customFormat="1" ht="22.5" customHeight="1" x14ac:dyDescent="0.25">
      <c r="A44" s="12" t="s">
        <v>4</v>
      </c>
      <c r="B44" s="13" t="s">
        <v>91</v>
      </c>
      <c r="C44" s="23">
        <f t="shared" si="20"/>
        <v>7</v>
      </c>
      <c r="D44" s="46">
        <f t="shared" si="21"/>
        <v>1.4</v>
      </c>
      <c r="F44" s="12" t="s">
        <v>4</v>
      </c>
      <c r="G44" s="13" t="s">
        <v>156</v>
      </c>
      <c r="H44" s="23">
        <f t="shared" si="22"/>
        <v>10</v>
      </c>
      <c r="I44" s="46">
        <f t="shared" si="23"/>
        <v>2</v>
      </c>
      <c r="K44" s="12" t="s">
        <v>4</v>
      </c>
      <c r="L44" s="13" t="s">
        <v>472</v>
      </c>
      <c r="M44" s="23">
        <f t="shared" si="24"/>
        <v>1</v>
      </c>
      <c r="N44" s="46">
        <f t="shared" si="25"/>
        <v>0.2</v>
      </c>
      <c r="R44" s="5"/>
      <c r="S44" s="29" t="s">
        <v>466</v>
      </c>
      <c r="T44" s="5"/>
      <c r="U44" s="26">
        <v>5</v>
      </c>
      <c r="V44" s="33" t="s">
        <v>496</v>
      </c>
      <c r="W44" s="31">
        <v>0</v>
      </c>
      <c r="X44" s="32">
        <v>0</v>
      </c>
      <c r="Y44" s="29" t="s">
        <v>447</v>
      </c>
    </row>
    <row r="45" spans="1:28" s="6" customFormat="1" ht="22.5" customHeight="1" x14ac:dyDescent="0.25">
      <c r="A45" s="12" t="s">
        <v>5</v>
      </c>
      <c r="B45" s="13" t="s">
        <v>129</v>
      </c>
      <c r="C45" s="23">
        <f t="shared" si="20"/>
        <v>12</v>
      </c>
      <c r="D45" s="46">
        <f t="shared" si="21"/>
        <v>2.4</v>
      </c>
      <c r="F45" s="12" t="s">
        <v>5</v>
      </c>
      <c r="G45" s="13" t="s">
        <v>480</v>
      </c>
      <c r="H45" s="23">
        <f t="shared" si="22"/>
        <v>9</v>
      </c>
      <c r="I45" s="46">
        <f t="shared" si="23"/>
        <v>1.8</v>
      </c>
      <c r="K45" s="12" t="s">
        <v>5</v>
      </c>
      <c r="L45" s="13" t="s">
        <v>474</v>
      </c>
      <c r="M45" s="23">
        <f t="shared" si="24"/>
        <v>1</v>
      </c>
      <c r="N45" s="46">
        <f t="shared" si="25"/>
        <v>0.2</v>
      </c>
      <c r="P45" s="62">
        <v>1</v>
      </c>
      <c r="Q45" s="58" t="s">
        <v>69</v>
      </c>
      <c r="R45" s="57">
        <v>12</v>
      </c>
      <c r="S45" s="63">
        <v>2.4</v>
      </c>
      <c r="T45" s="5" t="s">
        <v>507</v>
      </c>
      <c r="V45" s="16"/>
      <c r="W45" s="5"/>
      <c r="X45" s="29" t="s">
        <v>466</v>
      </c>
      <c r="Y45" s="5"/>
    </row>
    <row r="46" spans="1:28" s="6" customFormat="1" ht="22.5" customHeight="1" x14ac:dyDescent="0.25">
      <c r="A46" s="12" t="s">
        <v>6</v>
      </c>
      <c r="B46" s="13" t="s">
        <v>160</v>
      </c>
      <c r="C46" s="23">
        <f t="shared" si="20"/>
        <v>9</v>
      </c>
      <c r="D46" s="46">
        <f t="shared" si="21"/>
        <v>1.8</v>
      </c>
      <c r="F46" s="12" t="s">
        <v>6</v>
      </c>
      <c r="G46" s="13" t="s">
        <v>159</v>
      </c>
      <c r="H46" s="23">
        <f t="shared" si="22"/>
        <v>7</v>
      </c>
      <c r="I46" s="46">
        <f t="shared" si="23"/>
        <v>1.4</v>
      </c>
      <c r="K46" s="12" t="s">
        <v>6</v>
      </c>
      <c r="L46" s="13" t="s">
        <v>136</v>
      </c>
      <c r="M46" s="23">
        <f t="shared" si="24"/>
        <v>3</v>
      </c>
      <c r="N46" s="46">
        <f t="shared" si="25"/>
        <v>0.6</v>
      </c>
      <c r="P46" s="25">
        <v>2</v>
      </c>
      <c r="Q46" s="6" t="s">
        <v>78</v>
      </c>
      <c r="R46" s="5">
        <v>10</v>
      </c>
      <c r="S46" s="30">
        <v>2</v>
      </c>
      <c r="T46" s="5" t="s">
        <v>509</v>
      </c>
      <c r="U46" s="62">
        <v>1</v>
      </c>
      <c r="V46" s="64" t="s">
        <v>497</v>
      </c>
      <c r="W46" s="57">
        <v>13</v>
      </c>
      <c r="X46" s="63">
        <v>2.6</v>
      </c>
      <c r="Y46" s="29" t="s">
        <v>447</v>
      </c>
    </row>
    <row r="47" spans="1:28" s="6" customFormat="1" ht="22.5" customHeight="1" x14ac:dyDescent="0.25">
      <c r="A47" s="12" t="s">
        <v>7</v>
      </c>
      <c r="B47" s="13" t="s">
        <v>300</v>
      </c>
      <c r="C47" s="23">
        <f t="shared" si="20"/>
        <v>5</v>
      </c>
      <c r="D47" s="46">
        <f t="shared" si="21"/>
        <v>1.25</v>
      </c>
      <c r="F47" s="12" t="s">
        <v>7</v>
      </c>
      <c r="G47" s="13" t="s">
        <v>484</v>
      </c>
      <c r="H47" s="23">
        <f t="shared" si="22"/>
        <v>6</v>
      </c>
      <c r="I47" s="46">
        <f t="shared" si="23"/>
        <v>1.2</v>
      </c>
      <c r="K47" s="12" t="s">
        <v>7</v>
      </c>
      <c r="L47" s="13" t="s">
        <v>516</v>
      </c>
      <c r="M47" s="23" t="str">
        <f t="shared" si="24"/>
        <v>neu</v>
      </c>
      <c r="N47" s="46" t="str">
        <f t="shared" si="25"/>
        <v>neu</v>
      </c>
      <c r="P47" s="25">
        <v>3</v>
      </c>
      <c r="Q47" s="6" t="s">
        <v>72</v>
      </c>
      <c r="R47" s="5">
        <v>9</v>
      </c>
      <c r="S47" s="30">
        <v>1.8</v>
      </c>
      <c r="T47" s="5" t="s">
        <v>509</v>
      </c>
      <c r="U47" s="25">
        <v>2</v>
      </c>
      <c r="V47" s="16" t="s">
        <v>498</v>
      </c>
      <c r="W47" s="5">
        <v>10</v>
      </c>
      <c r="X47" s="30">
        <v>2</v>
      </c>
      <c r="Y47" s="29" t="s">
        <v>447</v>
      </c>
    </row>
    <row r="48" spans="1:28" s="6" customFormat="1" ht="22.5" customHeight="1" x14ac:dyDescent="0.25">
      <c r="A48" s="14" t="s">
        <v>8</v>
      </c>
      <c r="B48" s="15" t="s">
        <v>126</v>
      </c>
      <c r="C48" s="23">
        <f t="shared" si="20"/>
        <v>10</v>
      </c>
      <c r="D48" s="46">
        <f t="shared" si="21"/>
        <v>2</v>
      </c>
      <c r="F48" s="14" t="s">
        <v>8</v>
      </c>
      <c r="G48" s="15" t="s">
        <v>123</v>
      </c>
      <c r="H48" s="23">
        <f t="shared" si="22"/>
        <v>7</v>
      </c>
      <c r="I48" s="46">
        <f t="shared" si="23"/>
        <v>1.75</v>
      </c>
      <c r="K48" s="14" t="s">
        <v>8</v>
      </c>
      <c r="L48" s="15" t="s">
        <v>528</v>
      </c>
      <c r="M48" s="23" t="str">
        <f t="shared" si="24"/>
        <v>neu</v>
      </c>
      <c r="N48" s="46" t="str">
        <f t="shared" si="25"/>
        <v>neu</v>
      </c>
      <c r="P48" s="25">
        <v>4</v>
      </c>
      <c r="Q48" s="6" t="s">
        <v>125</v>
      </c>
      <c r="R48" s="5">
        <v>7</v>
      </c>
      <c r="S48" s="30">
        <v>1.4</v>
      </c>
      <c r="T48" s="5" t="s">
        <v>510</v>
      </c>
      <c r="U48" s="25">
        <v>3</v>
      </c>
      <c r="V48" s="16" t="s">
        <v>251</v>
      </c>
      <c r="W48" s="5">
        <v>8</v>
      </c>
      <c r="X48" s="30">
        <v>1.6</v>
      </c>
      <c r="Y48" s="29" t="s">
        <v>447</v>
      </c>
    </row>
    <row r="49" spans="1:28" s="6" customFormat="1" ht="22.5" customHeight="1" x14ac:dyDescent="0.25">
      <c r="C49" s="23"/>
      <c r="D49" s="46"/>
      <c r="H49" s="23"/>
      <c r="I49" s="46"/>
      <c r="K49" s="5"/>
      <c r="L49" s="16"/>
      <c r="M49" s="23"/>
      <c r="N49" s="46"/>
      <c r="P49" s="25">
        <v>5</v>
      </c>
      <c r="Q49" s="6" t="s">
        <v>385</v>
      </c>
      <c r="R49" s="5">
        <v>6</v>
      </c>
      <c r="S49" s="30">
        <v>1.2</v>
      </c>
      <c r="T49" s="5" t="s">
        <v>510</v>
      </c>
      <c r="U49" s="25">
        <v>4</v>
      </c>
      <c r="V49" s="16" t="s">
        <v>499</v>
      </c>
      <c r="W49" s="5">
        <v>6</v>
      </c>
      <c r="X49" s="30">
        <v>1.2</v>
      </c>
      <c r="Y49" s="29" t="s">
        <v>447</v>
      </c>
    </row>
    <row r="50" spans="1:28" s="6" customFormat="1" ht="22.5" customHeight="1" x14ac:dyDescent="0.25">
      <c r="A50" s="5"/>
      <c r="C50" s="23"/>
      <c r="D50" s="46"/>
      <c r="F50" s="5"/>
      <c r="H50" s="23"/>
      <c r="I50" s="46"/>
      <c r="K50" s="5"/>
      <c r="L50" s="16"/>
      <c r="M50" s="23"/>
      <c r="N50" s="46"/>
      <c r="P50" s="26">
        <v>6</v>
      </c>
      <c r="Q50" s="65" t="s">
        <v>121</v>
      </c>
      <c r="R50" s="31">
        <v>0</v>
      </c>
      <c r="S50" s="32">
        <v>0</v>
      </c>
      <c r="T50" s="5" t="s">
        <v>508</v>
      </c>
      <c r="U50" s="25">
        <v>5</v>
      </c>
      <c r="V50" s="16" t="s">
        <v>500</v>
      </c>
      <c r="W50" s="5">
        <v>4</v>
      </c>
      <c r="X50" s="30">
        <v>0.8</v>
      </c>
      <c r="Y50" s="29" t="s">
        <v>447</v>
      </c>
    </row>
    <row r="51" spans="1:28" s="6" customFormat="1" ht="22.5" customHeight="1" x14ac:dyDescent="0.25">
      <c r="A51" s="7" t="s">
        <v>0</v>
      </c>
      <c r="B51" s="8" t="s">
        <v>532</v>
      </c>
      <c r="C51" s="82"/>
      <c r="D51" s="83"/>
      <c r="F51" s="7" t="s">
        <v>0</v>
      </c>
      <c r="G51" s="8" t="s">
        <v>532</v>
      </c>
      <c r="H51" s="82"/>
      <c r="I51" s="83"/>
      <c r="K51" s="7" t="s">
        <v>0</v>
      </c>
      <c r="L51" s="8" t="s">
        <v>532</v>
      </c>
      <c r="M51" s="82"/>
      <c r="N51" s="83"/>
      <c r="P51" s="6" t="s">
        <v>402</v>
      </c>
      <c r="Q51" s="6" t="s">
        <v>403</v>
      </c>
      <c r="R51" s="5" t="s">
        <v>404</v>
      </c>
      <c r="S51" s="29" t="s">
        <v>405</v>
      </c>
      <c r="T51" s="5"/>
      <c r="U51" s="26">
        <v>6</v>
      </c>
      <c r="V51" s="33" t="s">
        <v>501</v>
      </c>
      <c r="W51" s="31">
        <v>1</v>
      </c>
      <c r="X51" s="32">
        <v>0.2</v>
      </c>
      <c r="Y51" s="29" t="s">
        <v>447</v>
      </c>
    </row>
    <row r="52" spans="1:28" s="9" customFormat="1" ht="22.5" customHeight="1" x14ac:dyDescent="0.25">
      <c r="A52" s="198" t="s">
        <v>222</v>
      </c>
      <c r="B52" s="199"/>
      <c r="C52" s="22" t="s">
        <v>168</v>
      </c>
      <c r="D52" s="27" t="s">
        <v>167</v>
      </c>
      <c r="F52" s="198" t="s">
        <v>223</v>
      </c>
      <c r="G52" s="199"/>
      <c r="H52" s="22" t="s">
        <v>168</v>
      </c>
      <c r="I52" s="27" t="s">
        <v>167</v>
      </c>
      <c r="K52" s="198" t="s">
        <v>224</v>
      </c>
      <c r="L52" s="199"/>
      <c r="M52" s="22" t="s">
        <v>168</v>
      </c>
      <c r="N52" s="27" t="s">
        <v>167</v>
      </c>
      <c r="P52" s="62">
        <v>1</v>
      </c>
      <c r="Q52" s="58" t="s">
        <v>81</v>
      </c>
      <c r="R52" s="57">
        <v>15</v>
      </c>
      <c r="S52" s="63">
        <v>3</v>
      </c>
      <c r="T52" s="5" t="s">
        <v>511</v>
      </c>
      <c r="U52" s="6"/>
      <c r="V52" s="16"/>
      <c r="W52" s="5"/>
      <c r="X52" s="29" t="s">
        <v>466</v>
      </c>
      <c r="Y52" s="5"/>
      <c r="Z52" s="6"/>
      <c r="AA52" s="6"/>
      <c r="AB52" s="6"/>
    </row>
    <row r="53" spans="1:28" s="6" customFormat="1" ht="22.5" customHeight="1" x14ac:dyDescent="0.25">
      <c r="A53" s="10" t="s">
        <v>1</v>
      </c>
      <c r="B53" s="11" t="s">
        <v>475</v>
      </c>
      <c r="C53" s="23">
        <f t="shared" ref="C53:C59" si="26">VLOOKUP(B53,$Q:$S,2,0)</f>
        <v>6</v>
      </c>
      <c r="D53" s="46">
        <f t="shared" ref="D53:D59" si="27">VLOOKUP(B53,$Q:$S,3,0)</f>
        <v>1.2</v>
      </c>
      <c r="F53" s="10" t="s">
        <v>1</v>
      </c>
      <c r="G53" s="11" t="s">
        <v>264</v>
      </c>
      <c r="H53" s="23">
        <f t="shared" ref="H53:H59" si="28">VLOOKUP(G53,$Q:$S,2,0)</f>
        <v>6</v>
      </c>
      <c r="I53" s="46">
        <f t="shared" ref="I53:I59" si="29">VLOOKUP(G53,$Q:$S,3,0)</f>
        <v>1.2</v>
      </c>
      <c r="K53" s="10" t="s">
        <v>1</v>
      </c>
      <c r="L53" s="11" t="s">
        <v>479</v>
      </c>
      <c r="M53" s="23">
        <f t="shared" ref="M53:M59" si="30">VLOOKUP(L53,$Q:$S,2,0)</f>
        <v>6</v>
      </c>
      <c r="N53" s="46">
        <f t="shared" ref="N53:N59" si="31">VLOOKUP(L53,$Q:$S,3,0)</f>
        <v>1.2</v>
      </c>
      <c r="P53" s="25">
        <v>2</v>
      </c>
      <c r="Q53" s="6" t="s">
        <v>107</v>
      </c>
      <c r="R53" s="5">
        <v>12</v>
      </c>
      <c r="S53" s="30">
        <v>2.4</v>
      </c>
      <c r="T53" s="5" t="s">
        <v>511</v>
      </c>
      <c r="U53" s="62">
        <v>1</v>
      </c>
      <c r="V53" s="64" t="s">
        <v>502</v>
      </c>
      <c r="W53" s="57">
        <v>12</v>
      </c>
      <c r="X53" s="63">
        <v>2.4</v>
      </c>
      <c r="Y53" s="29" t="s">
        <v>447</v>
      </c>
    </row>
    <row r="54" spans="1:28" s="6" customFormat="1" ht="22.5" customHeight="1" x14ac:dyDescent="0.25">
      <c r="A54" s="12" t="s">
        <v>2</v>
      </c>
      <c r="B54" s="13" t="s">
        <v>473</v>
      </c>
      <c r="C54" s="23">
        <f t="shared" si="26"/>
        <v>4</v>
      </c>
      <c r="D54" s="46">
        <f t="shared" si="27"/>
        <v>0.8</v>
      </c>
      <c r="F54" s="12" t="s">
        <v>2</v>
      </c>
      <c r="G54" s="13" t="s">
        <v>151</v>
      </c>
      <c r="H54" s="23">
        <f t="shared" si="28"/>
        <v>3</v>
      </c>
      <c r="I54" s="46">
        <f t="shared" si="29"/>
        <v>0.6</v>
      </c>
      <c r="K54" s="12" t="s">
        <v>2</v>
      </c>
      <c r="L54" s="13" t="s">
        <v>73</v>
      </c>
      <c r="M54" s="23">
        <f t="shared" si="30"/>
        <v>6</v>
      </c>
      <c r="N54" s="46">
        <f t="shared" si="31"/>
        <v>1.2</v>
      </c>
      <c r="P54" s="25">
        <v>3</v>
      </c>
      <c r="Q54" s="6" t="s">
        <v>470</v>
      </c>
      <c r="R54" s="5">
        <v>9</v>
      </c>
      <c r="S54" s="30">
        <v>1.8</v>
      </c>
      <c r="T54" s="5" t="s">
        <v>508</v>
      </c>
      <c r="U54" s="25">
        <v>2</v>
      </c>
      <c r="V54" s="16" t="s">
        <v>424</v>
      </c>
      <c r="W54" s="5">
        <v>10</v>
      </c>
      <c r="X54" s="30">
        <v>2</v>
      </c>
      <c r="Y54" s="29" t="s">
        <v>447</v>
      </c>
    </row>
    <row r="55" spans="1:28" s="6" customFormat="1" ht="22.5" customHeight="1" x14ac:dyDescent="0.25">
      <c r="A55" s="12" t="s">
        <v>3</v>
      </c>
      <c r="B55" s="13" t="s">
        <v>152</v>
      </c>
      <c r="C55" s="23">
        <f t="shared" si="26"/>
        <v>3</v>
      </c>
      <c r="D55" s="46">
        <f t="shared" si="27"/>
        <v>0.6</v>
      </c>
      <c r="F55" s="12" t="s">
        <v>3</v>
      </c>
      <c r="G55" s="13" t="s">
        <v>476</v>
      </c>
      <c r="H55" s="23">
        <f t="shared" si="28"/>
        <v>0</v>
      </c>
      <c r="I55" s="46">
        <f t="shared" si="29"/>
        <v>0</v>
      </c>
      <c r="K55" s="12" t="s">
        <v>3</v>
      </c>
      <c r="L55" s="13" t="s">
        <v>238</v>
      </c>
      <c r="M55" s="23">
        <f t="shared" si="30"/>
        <v>0</v>
      </c>
      <c r="N55" s="46">
        <f t="shared" si="31"/>
        <v>0</v>
      </c>
      <c r="P55" s="25">
        <v>4</v>
      </c>
      <c r="Q55" s="6" t="s">
        <v>128</v>
      </c>
      <c r="R55" s="5">
        <v>6</v>
      </c>
      <c r="S55" s="30">
        <v>1.2</v>
      </c>
      <c r="T55" s="5" t="s">
        <v>508</v>
      </c>
      <c r="U55" s="25">
        <v>3</v>
      </c>
      <c r="V55" s="16" t="s">
        <v>255</v>
      </c>
      <c r="W55" s="5">
        <v>9</v>
      </c>
      <c r="X55" s="30">
        <v>1.8</v>
      </c>
      <c r="Y55" s="29" t="s">
        <v>447</v>
      </c>
    </row>
    <row r="56" spans="1:28" s="6" customFormat="1" ht="22.5" customHeight="1" x14ac:dyDescent="0.25">
      <c r="A56" s="12" t="s">
        <v>4</v>
      </c>
      <c r="B56" s="13" t="s">
        <v>149</v>
      </c>
      <c r="C56" s="23">
        <f t="shared" si="26"/>
        <v>1</v>
      </c>
      <c r="D56" s="46">
        <f t="shared" si="27"/>
        <v>0.2</v>
      </c>
      <c r="F56" s="12" t="s">
        <v>4</v>
      </c>
      <c r="G56" s="13" t="s">
        <v>478</v>
      </c>
      <c r="H56" s="23">
        <f t="shared" si="28"/>
        <v>0</v>
      </c>
      <c r="I56" s="46">
        <f t="shared" si="29"/>
        <v>0</v>
      </c>
      <c r="K56" s="12" t="s">
        <v>4</v>
      </c>
      <c r="L56" s="13" t="s">
        <v>164</v>
      </c>
      <c r="M56" s="23">
        <f t="shared" si="30"/>
        <v>0</v>
      </c>
      <c r="N56" s="46">
        <f t="shared" si="31"/>
        <v>0</v>
      </c>
      <c r="P56" s="25">
        <v>5</v>
      </c>
      <c r="Q56" s="6" t="s">
        <v>471</v>
      </c>
      <c r="R56" s="5">
        <v>3</v>
      </c>
      <c r="S56" s="30">
        <v>0.6</v>
      </c>
      <c r="T56" s="5" t="s">
        <v>512</v>
      </c>
      <c r="U56" s="25">
        <v>4</v>
      </c>
      <c r="V56" s="16" t="s">
        <v>416</v>
      </c>
      <c r="W56" s="5">
        <v>5</v>
      </c>
      <c r="X56" s="30">
        <v>1</v>
      </c>
      <c r="Y56" s="29" t="s">
        <v>447</v>
      </c>
    </row>
    <row r="57" spans="1:28" s="6" customFormat="1" ht="22.5" customHeight="1" x14ac:dyDescent="0.25">
      <c r="A57" s="12" t="s">
        <v>5</v>
      </c>
      <c r="B57" s="13" t="s">
        <v>104</v>
      </c>
      <c r="C57" s="23">
        <f t="shared" si="26"/>
        <v>0</v>
      </c>
      <c r="D57" s="46">
        <f t="shared" si="27"/>
        <v>0</v>
      </c>
      <c r="F57" s="12" t="s">
        <v>5</v>
      </c>
      <c r="G57" s="13" t="s">
        <v>130</v>
      </c>
      <c r="H57" s="23">
        <f t="shared" si="28"/>
        <v>0</v>
      </c>
      <c r="I57" s="46">
        <f t="shared" si="29"/>
        <v>0</v>
      </c>
      <c r="K57" s="12" t="s">
        <v>5</v>
      </c>
      <c r="L57" s="13" t="s">
        <v>77</v>
      </c>
      <c r="M57" s="23">
        <f t="shared" si="30"/>
        <v>3</v>
      </c>
      <c r="N57" s="46">
        <f t="shared" si="31"/>
        <v>0.75</v>
      </c>
      <c r="P57" s="104">
        <v>6</v>
      </c>
      <c r="Q57" s="153" t="s">
        <v>102</v>
      </c>
      <c r="R57" s="151">
        <v>0</v>
      </c>
      <c r="S57" s="152">
        <v>0</v>
      </c>
      <c r="T57" s="5"/>
      <c r="U57" s="25">
        <v>5</v>
      </c>
      <c r="V57" s="16" t="s">
        <v>257</v>
      </c>
      <c r="W57" s="5">
        <v>4</v>
      </c>
      <c r="X57" s="30">
        <v>0.8</v>
      </c>
      <c r="Y57" s="29" t="s">
        <v>447</v>
      </c>
    </row>
    <row r="58" spans="1:28" s="6" customFormat="1" ht="22.5" customHeight="1" x14ac:dyDescent="0.25">
      <c r="A58" s="12" t="s">
        <v>6</v>
      </c>
      <c r="B58" s="13" t="s">
        <v>513</v>
      </c>
      <c r="C58" s="23" t="str">
        <f t="shared" si="26"/>
        <v>neu</v>
      </c>
      <c r="D58" s="46" t="str">
        <f t="shared" si="27"/>
        <v>neu</v>
      </c>
      <c r="F58" s="12" t="s">
        <v>6</v>
      </c>
      <c r="G58" s="13" t="s">
        <v>482</v>
      </c>
      <c r="H58" s="23">
        <f t="shared" si="28"/>
        <v>4</v>
      </c>
      <c r="I58" s="46">
        <f t="shared" si="29"/>
        <v>0.8</v>
      </c>
      <c r="K58" s="12" t="s">
        <v>6</v>
      </c>
      <c r="L58" s="13" t="s">
        <v>487</v>
      </c>
      <c r="M58" s="23">
        <f t="shared" si="30"/>
        <v>3</v>
      </c>
      <c r="N58" s="46">
        <f t="shared" si="31"/>
        <v>0.6</v>
      </c>
      <c r="R58" s="5"/>
      <c r="S58" s="29" t="s">
        <v>466</v>
      </c>
      <c r="T58" s="5"/>
      <c r="U58" s="26">
        <v>6</v>
      </c>
      <c r="V58" s="33" t="s">
        <v>253</v>
      </c>
      <c r="W58" s="31">
        <v>3</v>
      </c>
      <c r="X58" s="32">
        <v>0.6</v>
      </c>
      <c r="Y58" s="29" t="s">
        <v>447</v>
      </c>
    </row>
    <row r="59" spans="1:28" s="6" customFormat="1" ht="22.5" customHeight="1" x14ac:dyDescent="0.25">
      <c r="A59" s="14" t="s">
        <v>7</v>
      </c>
      <c r="B59" s="15" t="s">
        <v>409</v>
      </c>
      <c r="C59" s="23" t="str">
        <f t="shared" si="26"/>
        <v>neu</v>
      </c>
      <c r="D59" s="46" t="str">
        <f t="shared" si="27"/>
        <v>neu</v>
      </c>
      <c r="F59" s="14" t="s">
        <v>7</v>
      </c>
      <c r="G59" s="15" t="s">
        <v>488</v>
      </c>
      <c r="H59" s="23">
        <f t="shared" si="28"/>
        <v>0</v>
      </c>
      <c r="I59" s="46">
        <f t="shared" si="29"/>
        <v>0</v>
      </c>
      <c r="K59" s="14" t="s">
        <v>7</v>
      </c>
      <c r="L59" s="15" t="s">
        <v>517</v>
      </c>
      <c r="M59" s="23" t="str">
        <f t="shared" si="30"/>
        <v>neu</v>
      </c>
      <c r="N59" s="46" t="str">
        <f t="shared" si="31"/>
        <v>neu</v>
      </c>
      <c r="P59" s="62">
        <v>1</v>
      </c>
      <c r="Q59" s="58" t="s">
        <v>99</v>
      </c>
      <c r="R59" s="57">
        <v>15</v>
      </c>
      <c r="S59" s="63">
        <v>3</v>
      </c>
      <c r="T59" s="5" t="s">
        <v>508</v>
      </c>
      <c r="V59" s="16"/>
      <c r="W59" s="5"/>
      <c r="X59" s="29" t="s">
        <v>466</v>
      </c>
      <c r="Y59" s="5"/>
    </row>
    <row r="60" spans="1:28" s="6" customFormat="1" ht="22.5" customHeight="1" x14ac:dyDescent="0.25">
      <c r="C60" s="23"/>
      <c r="D60" s="46"/>
      <c r="H60" s="23"/>
      <c r="I60" s="46"/>
      <c r="K60" s="5"/>
      <c r="L60" s="16"/>
      <c r="M60" s="23"/>
      <c r="N60" s="46"/>
      <c r="P60" s="25">
        <v>2</v>
      </c>
      <c r="Q60" s="6" t="s">
        <v>98</v>
      </c>
      <c r="R60" s="5">
        <v>12</v>
      </c>
      <c r="S60" s="30">
        <v>2.4</v>
      </c>
      <c r="T60" s="5" t="s">
        <v>511</v>
      </c>
      <c r="U60" s="62">
        <v>1</v>
      </c>
      <c r="V60" s="64" t="s">
        <v>421</v>
      </c>
      <c r="W60" s="57">
        <v>15</v>
      </c>
      <c r="X60" s="63">
        <v>3</v>
      </c>
      <c r="Y60" s="29" t="s">
        <v>447</v>
      </c>
    </row>
    <row r="61" spans="1:28" s="6" customFormat="1" ht="22.5" customHeight="1" x14ac:dyDescent="0.25">
      <c r="A61" s="5"/>
      <c r="C61" s="23"/>
      <c r="D61" s="46"/>
      <c r="F61" s="5"/>
      <c r="H61" s="23"/>
      <c r="I61" s="46"/>
      <c r="K61" s="5"/>
      <c r="M61" s="23"/>
      <c r="N61" s="46"/>
      <c r="P61" s="25">
        <v>3</v>
      </c>
      <c r="Q61" s="6" t="s">
        <v>138</v>
      </c>
      <c r="R61" s="5">
        <v>6</v>
      </c>
      <c r="S61" s="30">
        <v>1.2</v>
      </c>
      <c r="T61" s="5" t="s">
        <v>508</v>
      </c>
      <c r="U61" s="25">
        <v>2</v>
      </c>
      <c r="V61" s="16" t="s">
        <v>254</v>
      </c>
      <c r="W61" s="5">
        <v>12</v>
      </c>
      <c r="X61" s="30">
        <v>2.4</v>
      </c>
      <c r="Y61" s="29" t="s">
        <v>447</v>
      </c>
    </row>
    <row r="62" spans="1:28" s="6" customFormat="1" ht="22.5" customHeight="1" x14ac:dyDescent="0.25">
      <c r="A62" s="7" t="s">
        <v>0</v>
      </c>
      <c r="B62" s="8" t="s">
        <v>532</v>
      </c>
      <c r="C62" s="82"/>
      <c r="D62" s="83"/>
      <c r="F62" s="7" t="s">
        <v>0</v>
      </c>
      <c r="G62" s="8" t="s">
        <v>116</v>
      </c>
      <c r="H62" s="82"/>
      <c r="I62" s="83"/>
      <c r="K62" s="7" t="s">
        <v>0</v>
      </c>
      <c r="L62" s="8" t="s">
        <v>118</v>
      </c>
      <c r="M62" s="82"/>
      <c r="N62" s="83"/>
      <c r="P62" s="25">
        <v>4</v>
      </c>
      <c r="Q62" s="6" t="s">
        <v>150</v>
      </c>
      <c r="R62" s="5">
        <v>6</v>
      </c>
      <c r="S62" s="30">
        <v>1.2</v>
      </c>
      <c r="T62" s="5" t="s">
        <v>508</v>
      </c>
      <c r="U62" s="25">
        <v>3</v>
      </c>
      <c r="V62" s="16" t="s">
        <v>249</v>
      </c>
      <c r="W62" s="5">
        <v>9</v>
      </c>
      <c r="X62" s="30">
        <v>1.8</v>
      </c>
      <c r="Y62" s="29" t="s">
        <v>447</v>
      </c>
    </row>
    <row r="63" spans="1:28" s="6" customFormat="1" ht="22.5" customHeight="1" x14ac:dyDescent="0.25">
      <c r="A63" s="198" t="s">
        <v>225</v>
      </c>
      <c r="B63" s="199"/>
      <c r="C63" s="22" t="s">
        <v>168</v>
      </c>
      <c r="D63" s="27" t="s">
        <v>167</v>
      </c>
      <c r="E63" s="9"/>
      <c r="F63" s="198" t="s">
        <v>226</v>
      </c>
      <c r="G63" s="199"/>
      <c r="H63" s="22" t="s">
        <v>168</v>
      </c>
      <c r="I63" s="27" t="s">
        <v>167</v>
      </c>
      <c r="J63" s="9"/>
      <c r="K63" s="198" t="s">
        <v>227</v>
      </c>
      <c r="L63" s="199"/>
      <c r="M63" s="22" t="s">
        <v>168</v>
      </c>
      <c r="N63" s="27" t="s">
        <v>167</v>
      </c>
      <c r="P63" s="25">
        <v>5</v>
      </c>
      <c r="Q63" s="6" t="s">
        <v>52</v>
      </c>
      <c r="R63" s="5">
        <v>4</v>
      </c>
      <c r="S63" s="30">
        <v>0.8</v>
      </c>
      <c r="T63" s="5" t="s">
        <v>512</v>
      </c>
      <c r="U63" s="25">
        <v>4</v>
      </c>
      <c r="V63" s="16" t="s">
        <v>26</v>
      </c>
      <c r="W63" s="5">
        <v>6</v>
      </c>
      <c r="X63" s="30">
        <v>1.2</v>
      </c>
      <c r="Y63" s="29" t="s">
        <v>447</v>
      </c>
    </row>
    <row r="64" spans="1:28" s="9" customFormat="1" ht="22.5" customHeight="1" x14ac:dyDescent="0.25">
      <c r="A64" s="10" t="s">
        <v>1</v>
      </c>
      <c r="B64" s="11" t="s">
        <v>485</v>
      </c>
      <c r="C64" s="23">
        <f t="shared" ref="C64:C70" si="32">VLOOKUP(B64,$Q:$S,2,0)</f>
        <v>1</v>
      </c>
      <c r="D64" s="46">
        <f t="shared" ref="D64:D70" si="33">VLOOKUP(B64,$Q:$S,3,0)</f>
        <v>0.25</v>
      </c>
      <c r="E64" s="6"/>
      <c r="F64" s="10" t="s">
        <v>1</v>
      </c>
      <c r="G64" s="11" t="s">
        <v>17</v>
      </c>
      <c r="H64" s="23">
        <f>VLOOKUP(G64,$V:$X,2,0)</f>
        <v>12</v>
      </c>
      <c r="I64" s="46">
        <f>VLOOKUP(G64,$V:$X,3,0)</f>
        <v>3</v>
      </c>
      <c r="J64" s="6"/>
      <c r="K64" s="10" t="s">
        <v>1</v>
      </c>
      <c r="L64" s="11" t="s">
        <v>493</v>
      </c>
      <c r="M64" s="23">
        <f>VLOOKUP(L64,$V:$X,2,0)</f>
        <v>12</v>
      </c>
      <c r="N64" s="46">
        <f>VLOOKUP(L64,$V:$X,3,0)</f>
        <v>3</v>
      </c>
      <c r="P64" s="26">
        <v>6</v>
      </c>
      <c r="Q64" s="65" t="s">
        <v>472</v>
      </c>
      <c r="R64" s="31">
        <v>1</v>
      </c>
      <c r="S64" s="32">
        <v>0.2</v>
      </c>
      <c r="T64" s="5" t="s">
        <v>512</v>
      </c>
      <c r="U64" s="25">
        <v>5</v>
      </c>
      <c r="V64" s="16" t="s">
        <v>256</v>
      </c>
      <c r="W64" s="5">
        <v>3</v>
      </c>
      <c r="X64" s="30">
        <v>0.6</v>
      </c>
      <c r="Y64" s="29" t="s">
        <v>447</v>
      </c>
      <c r="Z64" s="6"/>
      <c r="AA64" s="6"/>
      <c r="AB64" s="6"/>
    </row>
    <row r="65" spans="1:28" s="6" customFormat="1" ht="22.5" customHeight="1" x14ac:dyDescent="0.25">
      <c r="A65" s="12" t="s">
        <v>2</v>
      </c>
      <c r="B65" s="13" t="s">
        <v>163</v>
      </c>
      <c r="C65" s="23">
        <f t="shared" si="32"/>
        <v>3</v>
      </c>
      <c r="D65" s="46">
        <f t="shared" si="33"/>
        <v>0.6</v>
      </c>
      <c r="F65" s="12" t="s">
        <v>2</v>
      </c>
      <c r="G65" s="13" t="s">
        <v>398</v>
      </c>
      <c r="H65" s="23">
        <f t="shared" ref="H65:H70" si="34">VLOOKUP(G65,$V:$X,2,0)</f>
        <v>9</v>
      </c>
      <c r="I65" s="46">
        <f t="shared" ref="I65:I70" si="35">VLOOKUP(G65,$V:$X,3,0)</f>
        <v>2.25</v>
      </c>
      <c r="K65" s="12" t="s">
        <v>2</v>
      </c>
      <c r="L65" s="13" t="s">
        <v>43</v>
      </c>
      <c r="M65" s="23">
        <f t="shared" ref="M65:M70" si="36">VLOOKUP(L65,$V:$X,2,0)</f>
        <v>9</v>
      </c>
      <c r="N65" s="46">
        <f t="shared" ref="N65:N70" si="37">VLOOKUP(L65,$V:$X,3,0)</f>
        <v>2.25</v>
      </c>
      <c r="R65" s="5"/>
      <c r="S65" s="29" t="s">
        <v>466</v>
      </c>
      <c r="T65" s="5"/>
      <c r="U65" s="26">
        <v>6</v>
      </c>
      <c r="V65" s="33" t="s">
        <v>250</v>
      </c>
      <c r="W65" s="31">
        <v>0</v>
      </c>
      <c r="X65" s="32">
        <v>0</v>
      </c>
      <c r="Y65" s="29" t="s">
        <v>447</v>
      </c>
    </row>
    <row r="66" spans="1:28" s="6" customFormat="1" ht="22.5" customHeight="1" x14ac:dyDescent="0.25">
      <c r="A66" s="12" t="s">
        <v>3</v>
      </c>
      <c r="B66" s="13" t="s">
        <v>481</v>
      </c>
      <c r="C66" s="23">
        <f t="shared" si="32"/>
        <v>6</v>
      </c>
      <c r="D66" s="46">
        <f t="shared" si="33"/>
        <v>1.2</v>
      </c>
      <c r="F66" s="12" t="s">
        <v>3</v>
      </c>
      <c r="G66" s="13" t="s">
        <v>489</v>
      </c>
      <c r="H66" s="23">
        <f t="shared" si="34"/>
        <v>6</v>
      </c>
      <c r="I66" s="46">
        <f t="shared" si="35"/>
        <v>1.5</v>
      </c>
      <c r="K66" s="12" t="s">
        <v>3</v>
      </c>
      <c r="L66" s="13" t="s">
        <v>44</v>
      </c>
      <c r="M66" s="23">
        <f t="shared" si="36"/>
        <v>9</v>
      </c>
      <c r="N66" s="46">
        <f t="shared" si="37"/>
        <v>2.25</v>
      </c>
      <c r="O66" s="184"/>
      <c r="P66" s="62">
        <v>1</v>
      </c>
      <c r="Q66" s="58" t="s">
        <v>131</v>
      </c>
      <c r="R66" s="57">
        <v>15</v>
      </c>
      <c r="S66" s="63">
        <v>3</v>
      </c>
      <c r="T66" s="5" t="s">
        <v>511</v>
      </c>
      <c r="V66" s="16"/>
      <c r="W66" s="5"/>
      <c r="X66" s="29" t="s">
        <v>466</v>
      </c>
      <c r="Y66" s="5"/>
    </row>
    <row r="67" spans="1:28" s="6" customFormat="1" ht="22.5" customHeight="1" x14ac:dyDescent="0.25">
      <c r="A67" s="12" t="s">
        <v>4</v>
      </c>
      <c r="B67" s="13" t="s">
        <v>158</v>
      </c>
      <c r="C67" s="23">
        <f t="shared" si="32"/>
        <v>3</v>
      </c>
      <c r="D67" s="46">
        <f t="shared" si="33"/>
        <v>0.6</v>
      </c>
      <c r="F67" s="12" t="s">
        <v>4</v>
      </c>
      <c r="G67" s="13" t="s">
        <v>47</v>
      </c>
      <c r="H67" s="23">
        <f t="shared" si="34"/>
        <v>12</v>
      </c>
      <c r="I67" s="46">
        <f t="shared" si="35"/>
        <v>3</v>
      </c>
      <c r="K67" s="12" t="s">
        <v>4</v>
      </c>
      <c r="L67" s="13" t="s">
        <v>45</v>
      </c>
      <c r="M67" s="23">
        <f t="shared" si="36"/>
        <v>7</v>
      </c>
      <c r="N67" s="46">
        <f t="shared" si="37"/>
        <v>1.75</v>
      </c>
      <c r="P67" s="25">
        <v>2</v>
      </c>
      <c r="Q67" s="6" t="s">
        <v>61</v>
      </c>
      <c r="R67" s="5">
        <v>12</v>
      </c>
      <c r="S67" s="30">
        <v>2.4</v>
      </c>
      <c r="T67" s="5" t="s">
        <v>511</v>
      </c>
      <c r="U67" s="62">
        <v>1</v>
      </c>
      <c r="V67" s="64" t="s">
        <v>503</v>
      </c>
      <c r="W67" s="57">
        <v>13</v>
      </c>
      <c r="X67" s="63">
        <v>2.6</v>
      </c>
      <c r="Y67" s="29" t="s">
        <v>447</v>
      </c>
    </row>
    <row r="68" spans="1:28" s="6" customFormat="1" ht="22.5" customHeight="1" x14ac:dyDescent="0.25">
      <c r="A68" s="12" t="s">
        <v>5</v>
      </c>
      <c r="B68" s="13" t="s">
        <v>112</v>
      </c>
      <c r="C68" s="23">
        <f t="shared" si="32"/>
        <v>0</v>
      </c>
      <c r="D68" s="46">
        <f t="shared" si="33"/>
        <v>0</v>
      </c>
      <c r="F68" s="12" t="s">
        <v>5</v>
      </c>
      <c r="G68" s="13" t="s">
        <v>491</v>
      </c>
      <c r="H68" s="23">
        <f t="shared" si="34"/>
        <v>9</v>
      </c>
      <c r="I68" s="46">
        <f t="shared" si="35"/>
        <v>2.25</v>
      </c>
      <c r="K68" s="12" t="s">
        <v>5</v>
      </c>
      <c r="L68" s="13" t="s">
        <v>39</v>
      </c>
      <c r="M68" s="23">
        <f t="shared" si="36"/>
        <v>12</v>
      </c>
      <c r="N68" s="46">
        <f t="shared" si="37"/>
        <v>3</v>
      </c>
      <c r="P68" s="25">
        <v>3</v>
      </c>
      <c r="Q68" s="6" t="s">
        <v>80</v>
      </c>
      <c r="R68" s="5">
        <v>6</v>
      </c>
      <c r="S68" s="30">
        <v>1.2</v>
      </c>
      <c r="T68" s="5" t="s">
        <v>508</v>
      </c>
      <c r="U68" s="25">
        <v>2</v>
      </c>
      <c r="V68" s="16" t="s">
        <v>504</v>
      </c>
      <c r="W68" s="5">
        <v>12</v>
      </c>
      <c r="X68" s="30">
        <v>2.4</v>
      </c>
      <c r="Y68" s="29"/>
    </row>
    <row r="69" spans="1:28" s="6" customFormat="1" ht="22.5" customHeight="1" x14ac:dyDescent="0.25">
      <c r="A69" s="12" t="s">
        <v>6</v>
      </c>
      <c r="B69" s="13" t="s">
        <v>514</v>
      </c>
      <c r="C69" s="23" t="str">
        <f t="shared" si="32"/>
        <v>neu</v>
      </c>
      <c r="D69" s="46" t="str">
        <f t="shared" si="33"/>
        <v>neu</v>
      </c>
      <c r="F69" s="12" t="s">
        <v>6</v>
      </c>
      <c r="G69" s="13" t="s">
        <v>492</v>
      </c>
      <c r="H69" s="23">
        <f t="shared" si="34"/>
        <v>6</v>
      </c>
      <c r="I69" s="46">
        <f t="shared" si="35"/>
        <v>1.5</v>
      </c>
      <c r="K69" s="12" t="s">
        <v>6</v>
      </c>
      <c r="L69" s="13" t="s">
        <v>11</v>
      </c>
      <c r="M69" s="23">
        <f t="shared" si="36"/>
        <v>9</v>
      </c>
      <c r="N69" s="46">
        <f t="shared" si="37"/>
        <v>2.25</v>
      </c>
      <c r="P69" s="25">
        <v>4</v>
      </c>
      <c r="Q69" s="6" t="s">
        <v>101</v>
      </c>
      <c r="R69" s="5">
        <v>5</v>
      </c>
      <c r="S69" s="30">
        <v>1</v>
      </c>
      <c r="T69" s="5" t="s">
        <v>508</v>
      </c>
      <c r="U69" s="25">
        <v>3</v>
      </c>
      <c r="V69" s="16" t="s">
        <v>423</v>
      </c>
      <c r="W69" s="5">
        <v>10</v>
      </c>
      <c r="X69" s="30">
        <v>2</v>
      </c>
      <c r="Y69" s="29" t="s">
        <v>447</v>
      </c>
    </row>
    <row r="70" spans="1:28" s="6" customFormat="1" ht="22.5" customHeight="1" x14ac:dyDescent="0.25">
      <c r="A70" s="14" t="s">
        <v>7</v>
      </c>
      <c r="B70" s="15" t="s">
        <v>518</v>
      </c>
      <c r="C70" s="23" t="str">
        <f t="shared" si="32"/>
        <v>neu</v>
      </c>
      <c r="D70" s="46" t="str">
        <f t="shared" si="33"/>
        <v>neu</v>
      </c>
      <c r="F70" s="14" t="s">
        <v>7</v>
      </c>
      <c r="G70" s="15" t="s">
        <v>396</v>
      </c>
      <c r="H70" s="23">
        <f t="shared" si="34"/>
        <v>6</v>
      </c>
      <c r="I70" s="46">
        <f t="shared" si="35"/>
        <v>1.5</v>
      </c>
      <c r="K70" s="14" t="s">
        <v>7</v>
      </c>
      <c r="L70" s="15" t="s">
        <v>391</v>
      </c>
      <c r="M70" s="23">
        <f t="shared" si="36"/>
        <v>6</v>
      </c>
      <c r="N70" s="46">
        <f t="shared" si="37"/>
        <v>1.5</v>
      </c>
      <c r="P70" s="25">
        <v>5</v>
      </c>
      <c r="Q70" s="6" t="s">
        <v>473</v>
      </c>
      <c r="R70" s="5">
        <v>4</v>
      </c>
      <c r="S70" s="30">
        <v>0.8</v>
      </c>
      <c r="T70" s="5" t="s">
        <v>512</v>
      </c>
      <c r="U70" s="25">
        <v>4</v>
      </c>
      <c r="V70" s="16" t="s">
        <v>505</v>
      </c>
      <c r="W70" s="5">
        <v>6</v>
      </c>
      <c r="X70" s="30">
        <v>1.2</v>
      </c>
      <c r="Y70" s="29" t="s">
        <v>447</v>
      </c>
    </row>
    <row r="71" spans="1:28" s="6" customFormat="1" ht="22.5" customHeight="1" x14ac:dyDescent="0.25">
      <c r="C71" s="23"/>
      <c r="D71" s="46"/>
      <c r="H71" s="23"/>
      <c r="I71" s="46"/>
      <c r="K71" s="5"/>
      <c r="L71" s="16"/>
      <c r="M71" s="23"/>
      <c r="N71" s="46"/>
      <c r="P71" s="26">
        <v>6</v>
      </c>
      <c r="Q71" s="65" t="s">
        <v>474</v>
      </c>
      <c r="R71" s="31">
        <v>1</v>
      </c>
      <c r="S71" s="32">
        <v>0.2</v>
      </c>
      <c r="T71" s="5" t="s">
        <v>512</v>
      </c>
      <c r="U71" s="25">
        <v>5</v>
      </c>
      <c r="V71" s="16" t="s">
        <v>49</v>
      </c>
      <c r="W71" s="5">
        <v>3</v>
      </c>
      <c r="X71" s="30">
        <v>0.6</v>
      </c>
      <c r="Y71" s="29" t="s">
        <v>447</v>
      </c>
    </row>
    <row r="72" spans="1:28" s="6" customFormat="1" ht="22.5" customHeight="1" x14ac:dyDescent="0.25">
      <c r="A72" s="5"/>
      <c r="C72" s="23"/>
      <c r="D72" s="46"/>
      <c r="F72" s="5"/>
      <c r="H72" s="23"/>
      <c r="I72" s="46"/>
      <c r="K72" s="5"/>
      <c r="M72" s="23"/>
      <c r="N72" s="46"/>
      <c r="R72" s="5"/>
      <c r="S72" s="29" t="s">
        <v>466</v>
      </c>
      <c r="T72" s="5"/>
      <c r="U72" s="26">
        <v>6</v>
      </c>
      <c r="V72" s="33" t="s">
        <v>506</v>
      </c>
      <c r="W72" s="31">
        <v>0</v>
      </c>
      <c r="X72" s="32">
        <v>0</v>
      </c>
      <c r="Y72" s="29" t="s">
        <v>447</v>
      </c>
    </row>
    <row r="73" spans="1:28" s="6" customFormat="1" ht="22.5" customHeight="1" x14ac:dyDescent="0.25">
      <c r="A73" s="7" t="s">
        <v>0</v>
      </c>
      <c r="B73" s="8" t="s">
        <v>116</v>
      </c>
      <c r="C73" s="82"/>
      <c r="D73" s="83"/>
      <c r="F73" s="7" t="s">
        <v>0</v>
      </c>
      <c r="G73" s="8" t="s">
        <v>118</v>
      </c>
      <c r="H73" s="82"/>
      <c r="I73" s="83"/>
      <c r="K73" s="7" t="s">
        <v>0</v>
      </c>
      <c r="L73" s="8" t="s">
        <v>118</v>
      </c>
      <c r="M73" s="82"/>
      <c r="N73" s="83"/>
      <c r="O73" s="186"/>
      <c r="P73" s="62">
        <v>1</v>
      </c>
      <c r="Q73" s="58" t="s">
        <v>95</v>
      </c>
      <c r="R73" s="57">
        <v>15</v>
      </c>
      <c r="S73" s="63">
        <v>3</v>
      </c>
      <c r="T73" s="5" t="s">
        <v>511</v>
      </c>
      <c r="V73" s="16"/>
      <c r="W73" s="5"/>
      <c r="X73" s="29"/>
      <c r="Y73" s="5"/>
    </row>
    <row r="74" spans="1:28" s="6" customFormat="1" ht="22.5" customHeight="1" x14ac:dyDescent="0.25">
      <c r="A74" s="198" t="s">
        <v>228</v>
      </c>
      <c r="B74" s="199"/>
      <c r="C74" s="22" t="s">
        <v>168</v>
      </c>
      <c r="D74" s="27" t="s">
        <v>167</v>
      </c>
      <c r="E74" s="9"/>
      <c r="F74" s="198" t="s">
        <v>229</v>
      </c>
      <c r="G74" s="199"/>
      <c r="H74" s="22" t="s">
        <v>168</v>
      </c>
      <c r="I74" s="27" t="s">
        <v>167</v>
      </c>
      <c r="J74" s="9"/>
      <c r="K74" s="198" t="s">
        <v>230</v>
      </c>
      <c r="L74" s="199"/>
      <c r="M74" s="22" t="s">
        <v>168</v>
      </c>
      <c r="N74" s="27" t="s">
        <v>167</v>
      </c>
      <c r="P74" s="25">
        <v>2</v>
      </c>
      <c r="Q74" s="6" t="s">
        <v>103</v>
      </c>
      <c r="R74" s="5">
        <v>7</v>
      </c>
      <c r="S74" s="30">
        <v>1.4</v>
      </c>
      <c r="T74" s="5" t="s">
        <v>508</v>
      </c>
      <c r="V74" s="16" t="s">
        <v>529</v>
      </c>
      <c r="W74" s="5" t="s">
        <v>199</v>
      </c>
      <c r="X74" s="29" t="s">
        <v>199</v>
      </c>
      <c r="Y74" s="29" t="s">
        <v>447</v>
      </c>
    </row>
    <row r="75" spans="1:28" s="6" customFormat="1" ht="22.5" customHeight="1" x14ac:dyDescent="0.25">
      <c r="A75" s="10" t="s">
        <v>1</v>
      </c>
      <c r="B75" s="11" t="s">
        <v>490</v>
      </c>
      <c r="C75" s="23">
        <f>VLOOKUP(B75,$V:$X,2,0)</f>
        <v>3</v>
      </c>
      <c r="D75" s="46">
        <f>VLOOKUP(B75,$V:$X,3,0)</f>
        <v>0.75</v>
      </c>
      <c r="F75" s="10" t="s">
        <v>1</v>
      </c>
      <c r="G75" s="11" t="s">
        <v>397</v>
      </c>
      <c r="H75" s="23">
        <f>VLOOKUP(G75,$V:$X,2,0)</f>
        <v>3</v>
      </c>
      <c r="I75" s="46">
        <f>VLOOKUP(G75,$V:$X,3,0)</f>
        <v>0.75</v>
      </c>
      <c r="K75" s="10" t="s">
        <v>1</v>
      </c>
      <c r="L75" s="11" t="s">
        <v>261</v>
      </c>
      <c r="M75" s="23">
        <f>VLOOKUP(L75,$V:$X,2,0)</f>
        <v>0</v>
      </c>
      <c r="N75" s="46">
        <f>VLOOKUP(L75,$V:$X,3,0)</f>
        <v>0</v>
      </c>
      <c r="P75" s="25">
        <v>3</v>
      </c>
      <c r="Q75" s="6" t="s">
        <v>263</v>
      </c>
      <c r="R75" s="5">
        <v>7</v>
      </c>
      <c r="S75" s="30">
        <v>1.4</v>
      </c>
      <c r="T75" s="5" t="s">
        <v>508</v>
      </c>
      <c r="V75" s="16"/>
      <c r="W75" s="5"/>
      <c r="X75" s="29"/>
      <c r="Y75" s="5"/>
    </row>
    <row r="76" spans="1:28" s="9" customFormat="1" ht="22.5" customHeight="1" x14ac:dyDescent="0.25">
      <c r="A76" s="12" t="s">
        <v>2</v>
      </c>
      <c r="B76" s="13" t="s">
        <v>40</v>
      </c>
      <c r="C76" s="23">
        <f t="shared" ref="C76:C81" si="38">VLOOKUP(B76,$V:$X,2,0)</f>
        <v>0</v>
      </c>
      <c r="D76" s="46">
        <f t="shared" ref="D76:D81" si="39">VLOOKUP(B76,$V:$X,3,0)</f>
        <v>0</v>
      </c>
      <c r="E76" s="6"/>
      <c r="F76" s="12" t="s">
        <v>2</v>
      </c>
      <c r="G76" s="13" t="s">
        <v>41</v>
      </c>
      <c r="H76" s="23">
        <f t="shared" ref="H76:H81" si="40">VLOOKUP(G76,$V:$X,2,0)</f>
        <v>5</v>
      </c>
      <c r="I76" s="46">
        <f t="shared" ref="I76:I81" si="41">VLOOKUP(G76,$V:$X,3,0)</f>
        <v>1.25</v>
      </c>
      <c r="J76" s="6"/>
      <c r="K76" s="12" t="s">
        <v>2</v>
      </c>
      <c r="L76" s="13" t="s">
        <v>254</v>
      </c>
      <c r="M76" s="23">
        <f t="shared" ref="M76:M81" si="42">VLOOKUP(L76,$V:$X,2,0)</f>
        <v>12</v>
      </c>
      <c r="N76" s="46">
        <f t="shared" ref="N76:N81" si="43">VLOOKUP(L76,$V:$X,3,0)</f>
        <v>2.4</v>
      </c>
      <c r="P76" s="25">
        <v>4</v>
      </c>
      <c r="Q76" s="6" t="s">
        <v>137</v>
      </c>
      <c r="R76" s="5">
        <v>6</v>
      </c>
      <c r="S76" s="30">
        <v>1.2</v>
      </c>
      <c r="T76" s="5" t="s">
        <v>508</v>
      </c>
      <c r="U76" s="6"/>
      <c r="V76" s="16"/>
      <c r="W76" s="5"/>
      <c r="X76" s="29"/>
      <c r="Y76" s="5"/>
      <c r="Z76" s="6"/>
      <c r="AA76" s="6"/>
      <c r="AB76" s="6"/>
    </row>
    <row r="77" spans="1:28" s="6" customFormat="1" ht="22.5" customHeight="1" x14ac:dyDescent="0.25">
      <c r="A77" s="12" t="s">
        <v>3</v>
      </c>
      <c r="B77" s="13" t="s">
        <v>19</v>
      </c>
      <c r="C77" s="23">
        <f t="shared" si="38"/>
        <v>3</v>
      </c>
      <c r="D77" s="46">
        <f t="shared" si="39"/>
        <v>0.75</v>
      </c>
      <c r="F77" s="12" t="s">
        <v>3</v>
      </c>
      <c r="G77" s="13" t="s">
        <v>419</v>
      </c>
      <c r="H77" s="23">
        <f t="shared" si="40"/>
        <v>4</v>
      </c>
      <c r="I77" s="46">
        <f t="shared" si="41"/>
        <v>1</v>
      </c>
      <c r="K77" s="12" t="s">
        <v>3</v>
      </c>
      <c r="L77" s="13" t="s">
        <v>249</v>
      </c>
      <c r="M77" s="23">
        <f t="shared" si="42"/>
        <v>9</v>
      </c>
      <c r="N77" s="46">
        <f t="shared" si="43"/>
        <v>1.8</v>
      </c>
      <c r="P77" s="25">
        <v>5</v>
      </c>
      <c r="Q77" s="6" t="s">
        <v>475</v>
      </c>
      <c r="R77" s="5">
        <v>6</v>
      </c>
      <c r="S77" s="30">
        <v>1.2</v>
      </c>
      <c r="T77" s="5" t="s">
        <v>508</v>
      </c>
      <c r="V77" s="16"/>
      <c r="W77" s="5"/>
      <c r="X77" s="29"/>
      <c r="Y77" s="5"/>
    </row>
    <row r="78" spans="1:28" s="6" customFormat="1" ht="22.5" customHeight="1" x14ac:dyDescent="0.25">
      <c r="A78" s="12" t="s">
        <v>4</v>
      </c>
      <c r="B78" s="13" t="s">
        <v>20</v>
      </c>
      <c r="C78" s="23">
        <f t="shared" si="38"/>
        <v>0</v>
      </c>
      <c r="D78" s="46">
        <f t="shared" si="39"/>
        <v>0</v>
      </c>
      <c r="F78" s="12" t="s">
        <v>4</v>
      </c>
      <c r="G78" s="13" t="s">
        <v>46</v>
      </c>
      <c r="H78" s="23">
        <f t="shared" si="40"/>
        <v>3</v>
      </c>
      <c r="I78" s="46">
        <f t="shared" si="41"/>
        <v>0.75</v>
      </c>
      <c r="K78" s="12" t="s">
        <v>4</v>
      </c>
      <c r="L78" s="13" t="s">
        <v>26</v>
      </c>
      <c r="M78" s="23">
        <f t="shared" si="42"/>
        <v>6</v>
      </c>
      <c r="N78" s="46">
        <f t="shared" si="43"/>
        <v>1.2</v>
      </c>
      <c r="P78" s="26">
        <v>6</v>
      </c>
      <c r="Q78" s="65" t="s">
        <v>136</v>
      </c>
      <c r="R78" s="31">
        <v>3</v>
      </c>
      <c r="S78" s="32">
        <v>0.6</v>
      </c>
      <c r="T78" s="5" t="s">
        <v>512</v>
      </c>
      <c r="V78" s="16"/>
      <c r="W78" s="5"/>
      <c r="X78" s="29"/>
      <c r="Y78" s="5"/>
    </row>
    <row r="79" spans="1:28" s="6" customFormat="1" ht="22.5" customHeight="1" x14ac:dyDescent="0.25">
      <c r="A79" s="12" t="s">
        <v>5</v>
      </c>
      <c r="B79" s="13" t="s">
        <v>260</v>
      </c>
      <c r="C79" s="23">
        <f t="shared" si="38"/>
        <v>10</v>
      </c>
      <c r="D79" s="46">
        <f t="shared" si="39"/>
        <v>2.5</v>
      </c>
      <c r="F79" s="12" t="s">
        <v>5</v>
      </c>
      <c r="G79" s="13" t="s">
        <v>42</v>
      </c>
      <c r="H79" s="23">
        <f t="shared" si="40"/>
        <v>3</v>
      </c>
      <c r="I79" s="46">
        <f t="shared" si="41"/>
        <v>0.75</v>
      </c>
      <c r="K79" s="12" t="s">
        <v>5</v>
      </c>
      <c r="L79" s="13" t="s">
        <v>256</v>
      </c>
      <c r="M79" s="23">
        <f t="shared" si="42"/>
        <v>3</v>
      </c>
      <c r="N79" s="46">
        <f t="shared" si="43"/>
        <v>0.6</v>
      </c>
      <c r="R79" s="5"/>
      <c r="S79" s="29" t="s">
        <v>466</v>
      </c>
      <c r="T79" s="5"/>
      <c r="V79" s="16"/>
      <c r="W79" s="5"/>
      <c r="X79" s="29"/>
      <c r="Y79" s="5"/>
    </row>
    <row r="80" spans="1:28" s="6" customFormat="1" ht="22.5" customHeight="1" x14ac:dyDescent="0.25">
      <c r="A80" s="12" t="s">
        <v>6</v>
      </c>
      <c r="B80" s="13" t="s">
        <v>258</v>
      </c>
      <c r="C80" s="23">
        <f t="shared" si="38"/>
        <v>10</v>
      </c>
      <c r="D80" s="46">
        <f t="shared" si="39"/>
        <v>2.5</v>
      </c>
      <c r="F80" s="12" t="s">
        <v>6</v>
      </c>
      <c r="G80" s="13" t="s">
        <v>502</v>
      </c>
      <c r="H80" s="23">
        <f t="shared" si="40"/>
        <v>12</v>
      </c>
      <c r="I80" s="46">
        <f t="shared" si="41"/>
        <v>2.4</v>
      </c>
      <c r="K80" s="12" t="s">
        <v>6</v>
      </c>
      <c r="L80" s="13" t="s">
        <v>503</v>
      </c>
      <c r="M80" s="23">
        <f t="shared" si="42"/>
        <v>13</v>
      </c>
      <c r="N80" s="46">
        <f t="shared" si="43"/>
        <v>2.6</v>
      </c>
      <c r="O80" s="185"/>
      <c r="P80" s="62">
        <v>1</v>
      </c>
      <c r="Q80" s="58" t="s">
        <v>12</v>
      </c>
      <c r="R80" s="57">
        <v>15</v>
      </c>
      <c r="S80" s="63">
        <v>3</v>
      </c>
      <c r="T80" s="5" t="s">
        <v>511</v>
      </c>
      <c r="V80" s="16"/>
      <c r="W80" s="5"/>
      <c r="X80" s="29"/>
      <c r="Y80" s="5"/>
    </row>
    <row r="81" spans="1:28" s="6" customFormat="1" ht="22.5" customHeight="1" x14ac:dyDescent="0.25">
      <c r="A81" s="14" t="s">
        <v>7</v>
      </c>
      <c r="B81" s="15" t="s">
        <v>413</v>
      </c>
      <c r="C81" s="23">
        <f t="shared" si="38"/>
        <v>6</v>
      </c>
      <c r="D81" s="46">
        <f t="shared" si="39"/>
        <v>1.5</v>
      </c>
      <c r="F81" s="14" t="s">
        <v>7</v>
      </c>
      <c r="G81" s="15" t="s">
        <v>421</v>
      </c>
      <c r="H81" s="23">
        <f t="shared" si="40"/>
        <v>15</v>
      </c>
      <c r="I81" s="46">
        <f t="shared" si="41"/>
        <v>3</v>
      </c>
      <c r="K81" s="14" t="s">
        <v>7</v>
      </c>
      <c r="L81" s="15" t="s">
        <v>423</v>
      </c>
      <c r="M81" s="89">
        <f t="shared" si="42"/>
        <v>10</v>
      </c>
      <c r="N81" s="187">
        <f t="shared" si="43"/>
        <v>2</v>
      </c>
      <c r="P81" s="25">
        <v>2</v>
      </c>
      <c r="Q81" s="6" t="s">
        <v>147</v>
      </c>
      <c r="R81" s="5">
        <v>12</v>
      </c>
      <c r="S81" s="30">
        <v>2.4</v>
      </c>
      <c r="T81" s="5" t="s">
        <v>511</v>
      </c>
      <c r="V81" s="16"/>
      <c r="W81" s="5"/>
      <c r="X81" s="29"/>
      <c r="Y81" s="5"/>
    </row>
    <row r="82" spans="1:28" s="6" customFormat="1" ht="22.5" customHeight="1" x14ac:dyDescent="0.25">
      <c r="C82" s="23"/>
      <c r="D82" s="46"/>
      <c r="H82" s="23"/>
      <c r="I82" s="46"/>
      <c r="K82" s="5"/>
      <c r="L82" s="16"/>
      <c r="M82" s="23"/>
      <c r="N82" s="46"/>
      <c r="P82" s="25">
        <v>3</v>
      </c>
      <c r="Q82" s="6" t="s">
        <v>262</v>
      </c>
      <c r="R82" s="5">
        <v>9</v>
      </c>
      <c r="S82" s="30">
        <v>1.8</v>
      </c>
      <c r="T82" s="5" t="s">
        <v>511</v>
      </c>
      <c r="V82" s="16"/>
      <c r="W82" s="5"/>
      <c r="X82" s="29"/>
      <c r="Y82" s="5"/>
    </row>
    <row r="83" spans="1:28" s="6" customFormat="1" ht="22.5" customHeight="1" x14ac:dyDescent="0.25">
      <c r="A83" s="5"/>
      <c r="C83" s="23"/>
      <c r="D83" s="46"/>
      <c r="F83" s="5"/>
      <c r="H83" s="23"/>
      <c r="I83" s="46"/>
      <c r="K83" s="5"/>
      <c r="M83" s="23"/>
      <c r="N83" s="46"/>
      <c r="P83" s="25">
        <v>4</v>
      </c>
      <c r="Q83" s="6" t="s">
        <v>264</v>
      </c>
      <c r="R83" s="5">
        <v>6</v>
      </c>
      <c r="S83" s="30">
        <v>1.2</v>
      </c>
      <c r="T83" s="5" t="s">
        <v>508</v>
      </c>
      <c r="V83" s="16"/>
      <c r="W83" s="5"/>
      <c r="X83" s="29"/>
      <c r="Y83" s="5"/>
    </row>
    <row r="84" spans="1:28" s="6" customFormat="1" ht="22.5" customHeight="1" x14ac:dyDescent="0.25">
      <c r="A84" s="7" t="s">
        <v>0</v>
      </c>
      <c r="B84" s="8" t="s">
        <v>116</v>
      </c>
      <c r="C84" s="82"/>
      <c r="D84" s="83"/>
      <c r="F84" s="7" t="s">
        <v>0</v>
      </c>
      <c r="G84" s="8" t="s">
        <v>118</v>
      </c>
      <c r="H84" s="82"/>
      <c r="I84" s="83"/>
      <c r="K84" s="7" t="s">
        <v>0</v>
      </c>
      <c r="L84" s="8" t="s">
        <v>118</v>
      </c>
      <c r="M84" s="82"/>
      <c r="N84" s="83"/>
      <c r="P84" s="25">
        <v>5</v>
      </c>
      <c r="Q84" s="6" t="s">
        <v>151</v>
      </c>
      <c r="R84" s="5">
        <v>3</v>
      </c>
      <c r="S84" s="30">
        <v>0.6</v>
      </c>
      <c r="T84" s="5" t="s">
        <v>512</v>
      </c>
      <c r="V84" s="16"/>
      <c r="W84" s="5"/>
      <c r="X84" s="29"/>
      <c r="Y84" s="5"/>
    </row>
    <row r="85" spans="1:28" s="6" customFormat="1" ht="22.5" customHeight="1" x14ac:dyDescent="0.25">
      <c r="A85" s="198" t="s">
        <v>231</v>
      </c>
      <c r="B85" s="199"/>
      <c r="C85" s="22" t="s">
        <v>168</v>
      </c>
      <c r="D85" s="27" t="s">
        <v>167</v>
      </c>
      <c r="E85" s="9"/>
      <c r="F85" s="198" t="s">
        <v>519</v>
      </c>
      <c r="G85" s="199"/>
      <c r="H85" s="22" t="s">
        <v>168</v>
      </c>
      <c r="I85" s="27" t="s">
        <v>167</v>
      </c>
      <c r="J85" s="9"/>
      <c r="K85" s="198" t="s">
        <v>520</v>
      </c>
      <c r="L85" s="199"/>
      <c r="M85" s="22" t="s">
        <v>168</v>
      </c>
      <c r="N85" s="27" t="s">
        <v>167</v>
      </c>
      <c r="P85" s="26">
        <v>6</v>
      </c>
      <c r="Q85" s="65" t="s">
        <v>476</v>
      </c>
      <c r="R85" s="31">
        <v>0</v>
      </c>
      <c r="S85" s="32">
        <v>0</v>
      </c>
      <c r="T85" s="5" t="s">
        <v>512</v>
      </c>
      <c r="V85" s="16"/>
      <c r="W85" s="5"/>
      <c r="X85" s="29"/>
      <c r="Y85" s="5"/>
    </row>
    <row r="86" spans="1:28" s="6" customFormat="1" ht="22.5" customHeight="1" x14ac:dyDescent="0.25">
      <c r="A86" s="10" t="s">
        <v>1</v>
      </c>
      <c r="B86" s="11" t="s">
        <v>495</v>
      </c>
      <c r="C86" s="23">
        <f>VLOOKUP(B86,$V:$X,2,0)</f>
        <v>3</v>
      </c>
      <c r="D86" s="46">
        <f>VLOOKUP(B86,$V:$X,3,0)</f>
        <v>0.75</v>
      </c>
      <c r="F86" s="10" t="s">
        <v>1</v>
      </c>
      <c r="G86" s="11" t="s">
        <v>494</v>
      </c>
      <c r="H86" s="23">
        <f t="shared" ref="H86:H91" si="44">VLOOKUP(G86,$V:$X,2,0)</f>
        <v>0</v>
      </c>
      <c r="I86" s="46">
        <f t="shared" ref="I86:I91" si="45">VLOOKUP(G86,$V:$X,3,0)</f>
        <v>0</v>
      </c>
      <c r="K86" s="10" t="s">
        <v>1</v>
      </c>
      <c r="L86" s="11" t="s">
        <v>253</v>
      </c>
      <c r="M86" s="23">
        <f t="shared" ref="M86:M91" si="46">VLOOKUP(L86,$V:$X,2,0)</f>
        <v>3</v>
      </c>
      <c r="N86" s="46">
        <f t="shared" ref="N86:N91" si="47">VLOOKUP(L86,$V:$X,3,0)</f>
        <v>0.6</v>
      </c>
      <c r="R86" s="5"/>
      <c r="S86" s="29" t="s">
        <v>466</v>
      </c>
      <c r="T86" s="5"/>
      <c r="V86" s="16"/>
      <c r="W86" s="5"/>
      <c r="X86" s="29"/>
      <c r="Y86" s="5"/>
    </row>
    <row r="87" spans="1:28" s="6" customFormat="1" ht="22.5" customHeight="1" x14ac:dyDescent="0.25">
      <c r="A87" s="12" t="s">
        <v>2</v>
      </c>
      <c r="B87" s="13" t="s">
        <v>497</v>
      </c>
      <c r="C87" s="23">
        <f t="shared" ref="C87:C92" si="48">VLOOKUP(B87,$V:$X,2,0)</f>
        <v>13</v>
      </c>
      <c r="D87" s="46">
        <f t="shared" ref="D87:D92" si="49">VLOOKUP(B87,$V:$X,3,0)</f>
        <v>2.6</v>
      </c>
      <c r="F87" s="12" t="s">
        <v>2</v>
      </c>
      <c r="G87" s="13" t="s">
        <v>496</v>
      </c>
      <c r="H87" s="23">
        <f t="shared" si="44"/>
        <v>0</v>
      </c>
      <c r="I87" s="46">
        <f t="shared" si="45"/>
        <v>0</v>
      </c>
      <c r="K87" s="12" t="s">
        <v>2</v>
      </c>
      <c r="L87" s="13" t="s">
        <v>250</v>
      </c>
      <c r="M87" s="23">
        <f t="shared" si="46"/>
        <v>0</v>
      </c>
      <c r="N87" s="46">
        <f t="shared" si="47"/>
        <v>0</v>
      </c>
      <c r="O87" s="184"/>
      <c r="P87" s="62">
        <v>1</v>
      </c>
      <c r="Q87" s="58" t="s">
        <v>146</v>
      </c>
      <c r="R87" s="57">
        <v>15</v>
      </c>
      <c r="S87" s="63">
        <v>3</v>
      </c>
      <c r="T87" s="5" t="s">
        <v>511</v>
      </c>
      <c r="V87" s="16"/>
      <c r="W87" s="5"/>
      <c r="X87" s="29"/>
      <c r="Y87" s="5"/>
    </row>
    <row r="88" spans="1:28" s="9" customFormat="1" ht="22.5" customHeight="1" x14ac:dyDescent="0.25">
      <c r="A88" s="12" t="s">
        <v>3</v>
      </c>
      <c r="B88" s="13" t="s">
        <v>498</v>
      </c>
      <c r="C88" s="23">
        <f t="shared" si="48"/>
        <v>10</v>
      </c>
      <c r="D88" s="46">
        <f t="shared" si="49"/>
        <v>2</v>
      </c>
      <c r="E88" s="6"/>
      <c r="F88" s="12" t="s">
        <v>3</v>
      </c>
      <c r="G88" s="13" t="s">
        <v>424</v>
      </c>
      <c r="H88" s="23">
        <f t="shared" si="44"/>
        <v>10</v>
      </c>
      <c r="I88" s="46">
        <f t="shared" si="45"/>
        <v>2</v>
      </c>
      <c r="J88" s="6"/>
      <c r="K88" s="12" t="s">
        <v>3</v>
      </c>
      <c r="L88" s="13" t="s">
        <v>505</v>
      </c>
      <c r="M88" s="23">
        <f t="shared" si="46"/>
        <v>6</v>
      </c>
      <c r="N88" s="46">
        <f t="shared" si="47"/>
        <v>1.2</v>
      </c>
      <c r="P88" s="25">
        <v>2</v>
      </c>
      <c r="Q88" s="6" t="s">
        <v>64</v>
      </c>
      <c r="R88" s="5">
        <v>10</v>
      </c>
      <c r="S88" s="30">
        <v>2</v>
      </c>
      <c r="T88" s="5" t="s">
        <v>511</v>
      </c>
      <c r="U88" s="6"/>
      <c r="V88" s="16"/>
      <c r="W88" s="5"/>
      <c r="X88" s="29"/>
      <c r="Y88" s="5"/>
      <c r="Z88" s="6"/>
      <c r="AA88" s="6"/>
      <c r="AB88" s="6"/>
    </row>
    <row r="89" spans="1:28" s="6" customFormat="1" ht="22.5" customHeight="1" x14ac:dyDescent="0.25">
      <c r="A89" s="12" t="s">
        <v>4</v>
      </c>
      <c r="B89" s="13" t="s">
        <v>251</v>
      </c>
      <c r="C89" s="23">
        <f t="shared" si="48"/>
        <v>8</v>
      </c>
      <c r="D89" s="46">
        <f t="shared" si="49"/>
        <v>1.6</v>
      </c>
      <c r="F89" s="12" t="s">
        <v>4</v>
      </c>
      <c r="G89" s="13" t="s">
        <v>255</v>
      </c>
      <c r="H89" s="23">
        <f t="shared" si="44"/>
        <v>9</v>
      </c>
      <c r="I89" s="46">
        <f t="shared" si="45"/>
        <v>1.8</v>
      </c>
      <c r="K89" s="12" t="s">
        <v>4</v>
      </c>
      <c r="L89" s="13" t="s">
        <v>49</v>
      </c>
      <c r="M89" s="23">
        <f t="shared" si="46"/>
        <v>3</v>
      </c>
      <c r="N89" s="46">
        <f t="shared" si="47"/>
        <v>0.6</v>
      </c>
      <c r="P89" s="25">
        <v>3</v>
      </c>
      <c r="Q89" s="6" t="s">
        <v>148</v>
      </c>
      <c r="R89" s="5">
        <v>8</v>
      </c>
      <c r="S89" s="30">
        <v>1.6</v>
      </c>
      <c r="T89" s="5" t="s">
        <v>508</v>
      </c>
      <c r="V89" s="16"/>
      <c r="W89" s="5"/>
      <c r="X89" s="29"/>
      <c r="Y89" s="5"/>
    </row>
    <row r="90" spans="1:28" s="6" customFormat="1" ht="22.5" customHeight="1" x14ac:dyDescent="0.25">
      <c r="A90" s="12" t="s">
        <v>5</v>
      </c>
      <c r="B90" s="13" t="s">
        <v>499</v>
      </c>
      <c r="C90" s="23">
        <f t="shared" si="48"/>
        <v>6</v>
      </c>
      <c r="D90" s="46">
        <f t="shared" si="49"/>
        <v>1.2</v>
      </c>
      <c r="F90" s="12" t="s">
        <v>5</v>
      </c>
      <c r="G90" s="13" t="s">
        <v>416</v>
      </c>
      <c r="H90" s="23">
        <f t="shared" si="44"/>
        <v>5</v>
      </c>
      <c r="I90" s="46">
        <f t="shared" si="45"/>
        <v>1</v>
      </c>
      <c r="K90" s="12" t="s">
        <v>5</v>
      </c>
      <c r="L90" s="13" t="s">
        <v>506</v>
      </c>
      <c r="M90" s="23">
        <f t="shared" si="46"/>
        <v>0</v>
      </c>
      <c r="N90" s="46">
        <f t="shared" si="47"/>
        <v>0</v>
      </c>
      <c r="P90" s="129">
        <v>4</v>
      </c>
      <c r="Q90" s="183" t="s">
        <v>109</v>
      </c>
      <c r="R90" s="149">
        <v>6</v>
      </c>
      <c r="S90" s="150">
        <v>1.2</v>
      </c>
      <c r="T90" s="5"/>
      <c r="V90" s="16"/>
      <c r="W90" s="5"/>
      <c r="X90" s="29"/>
      <c r="Y90" s="5"/>
    </row>
    <row r="91" spans="1:28" s="6" customFormat="1" ht="22.5" customHeight="1" x14ac:dyDescent="0.25">
      <c r="A91" s="12" t="s">
        <v>6</v>
      </c>
      <c r="B91" s="13" t="s">
        <v>500</v>
      </c>
      <c r="C91" s="23">
        <f t="shared" si="48"/>
        <v>4</v>
      </c>
      <c r="D91" s="46">
        <f t="shared" si="49"/>
        <v>0.8</v>
      </c>
      <c r="F91" s="14" t="s">
        <v>6</v>
      </c>
      <c r="G91" s="15" t="s">
        <v>257</v>
      </c>
      <c r="H91" s="23">
        <f t="shared" si="44"/>
        <v>4</v>
      </c>
      <c r="I91" s="46">
        <f t="shared" si="45"/>
        <v>0.8</v>
      </c>
      <c r="K91" s="14" t="s">
        <v>6</v>
      </c>
      <c r="L91" s="15" t="s">
        <v>515</v>
      </c>
      <c r="M91" s="23" t="e">
        <f t="shared" si="46"/>
        <v>#N/A</v>
      </c>
      <c r="N91" s="46" t="e">
        <f t="shared" si="47"/>
        <v>#N/A</v>
      </c>
      <c r="P91" s="25">
        <v>5</v>
      </c>
      <c r="Q91" s="6" t="s">
        <v>152</v>
      </c>
      <c r="R91" s="5">
        <v>3</v>
      </c>
      <c r="S91" s="30">
        <v>0.6</v>
      </c>
      <c r="T91" s="5" t="s">
        <v>512</v>
      </c>
      <c r="V91" s="16"/>
      <c r="W91" s="5"/>
      <c r="X91" s="29"/>
      <c r="Y91" s="5"/>
    </row>
    <row r="92" spans="1:28" s="6" customFormat="1" ht="22.5" customHeight="1" x14ac:dyDescent="0.25">
      <c r="A92" s="14" t="s">
        <v>7</v>
      </c>
      <c r="B92" s="15" t="s">
        <v>501</v>
      </c>
      <c r="C92" s="23">
        <f t="shared" si="48"/>
        <v>1</v>
      </c>
      <c r="D92" s="46">
        <f t="shared" si="49"/>
        <v>0.2</v>
      </c>
      <c r="F92" s="5"/>
      <c r="H92" s="23"/>
      <c r="I92" s="46"/>
      <c r="M92" s="23"/>
      <c r="N92" s="46"/>
      <c r="P92" s="26">
        <v>6</v>
      </c>
      <c r="Q92" s="65" t="s">
        <v>149</v>
      </c>
      <c r="R92" s="31">
        <v>1</v>
      </c>
      <c r="S92" s="32">
        <v>0.2</v>
      </c>
      <c r="T92" s="5" t="s">
        <v>512</v>
      </c>
      <c r="V92" s="16"/>
      <c r="W92" s="5"/>
      <c r="X92" s="29"/>
      <c r="Y92" s="5"/>
    </row>
    <row r="93" spans="1:28" s="6" customFormat="1" ht="22.5" customHeight="1" x14ac:dyDescent="0.25">
      <c r="A93" s="5"/>
      <c r="C93" s="23"/>
      <c r="D93" s="46"/>
      <c r="F93" s="5"/>
      <c r="H93" s="23"/>
      <c r="I93" s="46"/>
      <c r="M93" s="23"/>
      <c r="N93" s="46"/>
      <c r="R93" s="5"/>
      <c r="S93" s="29" t="s">
        <v>466</v>
      </c>
      <c r="T93" s="5"/>
      <c r="V93" s="16"/>
      <c r="W93" s="5"/>
      <c r="X93" s="29"/>
      <c r="Y93" s="5"/>
    </row>
    <row r="94" spans="1:28" s="6" customFormat="1" ht="22.5" customHeight="1" x14ac:dyDescent="0.25">
      <c r="A94" s="5"/>
      <c r="C94" s="23"/>
      <c r="D94" s="46"/>
      <c r="F94" s="5"/>
      <c r="H94" s="23"/>
      <c r="I94" s="46"/>
      <c r="M94" s="23"/>
      <c r="N94" s="46"/>
      <c r="P94" s="62">
        <v>1</v>
      </c>
      <c r="Q94" s="58" t="s">
        <v>66</v>
      </c>
      <c r="R94" s="57">
        <v>12</v>
      </c>
      <c r="S94" s="63">
        <v>2.4</v>
      </c>
      <c r="T94" s="5" t="s">
        <v>508</v>
      </c>
      <c r="V94" s="16"/>
      <c r="W94" s="5"/>
      <c r="X94" s="29"/>
      <c r="Y94" s="5"/>
    </row>
    <row r="95" spans="1:28" s="6" customFormat="1" ht="22.5" customHeight="1" x14ac:dyDescent="0.25">
      <c r="A95" s="5"/>
      <c r="C95" s="23"/>
      <c r="D95" s="46"/>
      <c r="F95" s="5"/>
      <c r="H95" s="23"/>
      <c r="I95" s="46"/>
      <c r="M95" s="23"/>
      <c r="N95" s="46"/>
      <c r="P95" s="25">
        <v>2</v>
      </c>
      <c r="Q95" s="6" t="s">
        <v>153</v>
      </c>
      <c r="R95" s="5">
        <v>12</v>
      </c>
      <c r="S95" s="30">
        <v>2.4</v>
      </c>
      <c r="T95" s="5" t="s">
        <v>508</v>
      </c>
      <c r="V95" s="16"/>
      <c r="W95" s="5"/>
      <c r="X95" s="29"/>
      <c r="Y95" s="5"/>
    </row>
    <row r="96" spans="1:28" s="6" customFormat="1" ht="22.5" customHeight="1" x14ac:dyDescent="0.25">
      <c r="A96" s="5"/>
      <c r="C96" s="23"/>
      <c r="D96" s="46"/>
      <c r="F96" s="5"/>
      <c r="H96" s="23"/>
      <c r="I96" s="46"/>
      <c r="K96" s="5"/>
      <c r="M96" s="23"/>
      <c r="N96" s="46"/>
      <c r="P96" s="25">
        <v>3</v>
      </c>
      <c r="Q96" s="6" t="s">
        <v>477</v>
      </c>
      <c r="R96" s="5">
        <v>9</v>
      </c>
      <c r="S96" s="30">
        <v>1.8</v>
      </c>
      <c r="T96" s="5" t="s">
        <v>508</v>
      </c>
      <c r="V96" s="16"/>
      <c r="W96" s="5"/>
      <c r="X96" s="29"/>
      <c r="Y96" s="5"/>
    </row>
    <row r="97" spans="1:28" s="9" customFormat="1" ht="22.5" customHeight="1" x14ac:dyDescent="0.25">
      <c r="A97" s="5"/>
      <c r="B97" s="6"/>
      <c r="C97" s="23"/>
      <c r="D97" s="46"/>
      <c r="E97" s="6"/>
      <c r="F97" s="52"/>
      <c r="G97" s="51"/>
      <c r="H97" s="23"/>
      <c r="I97" s="46"/>
      <c r="J97" s="51"/>
      <c r="K97" s="52"/>
      <c r="L97" s="51"/>
      <c r="M97" s="23"/>
      <c r="N97" s="46"/>
      <c r="P97" s="129">
        <v>4</v>
      </c>
      <c r="Q97" s="183" t="s">
        <v>265</v>
      </c>
      <c r="R97" s="149">
        <v>6</v>
      </c>
      <c r="S97" s="150">
        <v>1.2</v>
      </c>
      <c r="T97" s="5"/>
      <c r="U97" s="6"/>
      <c r="V97" s="16"/>
      <c r="W97" s="5"/>
      <c r="X97" s="29"/>
      <c r="Y97" s="5"/>
      <c r="Z97" s="6"/>
      <c r="AA97" s="6"/>
      <c r="AB97" s="6"/>
    </row>
    <row r="98" spans="1:28" s="6" customFormat="1" ht="22.5" customHeight="1" x14ac:dyDescent="0.25">
      <c r="A98" s="52"/>
      <c r="B98" s="51"/>
      <c r="C98" s="23"/>
      <c r="D98" s="46"/>
      <c r="E98" s="51"/>
      <c r="F98" s="52"/>
      <c r="G98" s="51"/>
      <c r="H98" s="23"/>
      <c r="I98" s="46"/>
      <c r="J98" s="51"/>
      <c r="K98" s="52"/>
      <c r="L98" s="51"/>
      <c r="M98" s="23"/>
      <c r="N98" s="46"/>
      <c r="P98" s="25">
        <v>5</v>
      </c>
      <c r="Q98" s="6" t="s">
        <v>55</v>
      </c>
      <c r="R98" s="5">
        <v>6</v>
      </c>
      <c r="S98" s="30">
        <v>1.2</v>
      </c>
      <c r="T98" s="5" t="s">
        <v>508</v>
      </c>
      <c r="V98" s="16"/>
      <c r="W98" s="5"/>
      <c r="X98" s="29"/>
      <c r="Y98" s="5"/>
    </row>
    <row r="99" spans="1:28" s="6" customFormat="1" ht="22.5" customHeight="1" x14ac:dyDescent="0.25">
      <c r="A99" s="52"/>
      <c r="B99" s="51"/>
      <c r="C99" s="23"/>
      <c r="D99" s="46"/>
      <c r="E99" s="51"/>
      <c r="F99" s="52"/>
      <c r="G99" s="51"/>
      <c r="H99" s="23"/>
      <c r="I99" s="46"/>
      <c r="J99" s="51"/>
      <c r="K99" s="52"/>
      <c r="L99" s="51"/>
      <c r="M99" s="23"/>
      <c r="N99" s="46"/>
      <c r="P99" s="26">
        <v>6</v>
      </c>
      <c r="Q99" s="65" t="s">
        <v>478</v>
      </c>
      <c r="R99" s="31">
        <v>0</v>
      </c>
      <c r="S99" s="32">
        <v>0</v>
      </c>
      <c r="T99" s="5" t="s">
        <v>512</v>
      </c>
      <c r="V99" s="16"/>
      <c r="W99" s="5"/>
      <c r="X99" s="29"/>
      <c r="Y99" s="5"/>
    </row>
    <row r="100" spans="1:28" s="6" customFormat="1" ht="22.5" customHeight="1" x14ac:dyDescent="0.25">
      <c r="A100" s="52"/>
      <c r="B100" s="51"/>
      <c r="C100" s="23"/>
      <c r="D100" s="46"/>
      <c r="E100" s="51"/>
      <c r="F100" s="52"/>
      <c r="G100" s="51"/>
      <c r="H100" s="23"/>
      <c r="I100" s="46"/>
      <c r="J100" s="51"/>
      <c r="K100" s="52"/>
      <c r="L100" s="51"/>
      <c r="M100" s="23"/>
      <c r="N100" s="46"/>
      <c r="R100" s="5"/>
      <c r="S100" s="29" t="s">
        <v>466</v>
      </c>
      <c r="T100" s="5"/>
      <c r="V100" s="16"/>
      <c r="W100" s="5"/>
      <c r="X100" s="29"/>
      <c r="Y100" s="5"/>
    </row>
    <row r="101" spans="1:28" s="6" customFormat="1" ht="22.5" customHeight="1" x14ac:dyDescent="0.25">
      <c r="A101" s="52"/>
      <c r="B101" s="51"/>
      <c r="C101" s="23"/>
      <c r="D101" s="46"/>
      <c r="E101" s="51"/>
      <c r="F101" s="52"/>
      <c r="G101" s="51"/>
      <c r="H101" s="23"/>
      <c r="I101" s="46"/>
      <c r="J101" s="51"/>
      <c r="K101" s="52"/>
      <c r="L101" s="51"/>
      <c r="M101" s="23"/>
      <c r="N101" s="46"/>
      <c r="P101" s="62">
        <v>1</v>
      </c>
      <c r="Q101" s="58" t="s">
        <v>161</v>
      </c>
      <c r="R101" s="57">
        <v>15</v>
      </c>
      <c r="S101" s="63">
        <v>3</v>
      </c>
      <c r="T101" s="5" t="s">
        <v>508</v>
      </c>
      <c r="V101" s="16"/>
      <c r="W101" s="5"/>
      <c r="X101" s="29"/>
      <c r="Y101" s="5"/>
    </row>
    <row r="102" spans="1:28" s="6" customFormat="1" ht="22.5" customHeight="1" x14ac:dyDescent="0.25">
      <c r="A102" s="52"/>
      <c r="B102" s="51"/>
      <c r="C102" s="23"/>
      <c r="D102" s="46"/>
      <c r="E102" s="51"/>
      <c r="F102" s="52"/>
      <c r="G102" s="51"/>
      <c r="H102" s="23"/>
      <c r="I102" s="46"/>
      <c r="J102" s="51"/>
      <c r="K102" s="52"/>
      <c r="L102" s="51"/>
      <c r="M102" s="23"/>
      <c r="N102" s="46"/>
      <c r="P102" s="25">
        <v>2</v>
      </c>
      <c r="Q102" s="6" t="s">
        <v>75</v>
      </c>
      <c r="R102" s="5">
        <v>12</v>
      </c>
      <c r="S102" s="30">
        <v>2.4</v>
      </c>
      <c r="T102" s="5" t="s">
        <v>508</v>
      </c>
      <c r="V102" s="16"/>
      <c r="W102" s="5"/>
      <c r="X102" s="29"/>
      <c r="Y102" s="5"/>
    </row>
    <row r="103" spans="1:28" s="6" customFormat="1" ht="22.5" customHeight="1" x14ac:dyDescent="0.25">
      <c r="A103" s="52"/>
      <c r="B103" s="51"/>
      <c r="C103" s="23"/>
      <c r="D103" s="46"/>
      <c r="E103" s="51"/>
      <c r="F103" s="52"/>
      <c r="G103" s="51"/>
      <c r="H103" s="23"/>
      <c r="I103" s="46"/>
      <c r="J103" s="51"/>
      <c r="K103" s="52"/>
      <c r="L103" s="51"/>
      <c r="M103" s="23"/>
      <c r="N103" s="46"/>
      <c r="P103" s="25">
        <v>3</v>
      </c>
      <c r="Q103" s="6" t="s">
        <v>111</v>
      </c>
      <c r="R103" s="5">
        <v>9</v>
      </c>
      <c r="S103" s="30">
        <v>1.8</v>
      </c>
      <c r="T103" s="5" t="s">
        <v>508</v>
      </c>
      <c r="V103" s="16"/>
      <c r="W103" s="5"/>
      <c r="X103" s="29"/>
      <c r="Y103" s="5"/>
    </row>
    <row r="104" spans="1:28" ht="22.5" customHeight="1" x14ac:dyDescent="0.25">
      <c r="P104" s="25">
        <v>4</v>
      </c>
      <c r="Q104" s="6" t="s">
        <v>479</v>
      </c>
      <c r="R104" s="5">
        <v>6</v>
      </c>
      <c r="S104" s="30">
        <v>1.2</v>
      </c>
      <c r="T104" s="5" t="s">
        <v>508</v>
      </c>
    </row>
    <row r="105" spans="1:28" ht="22.5" customHeight="1" x14ac:dyDescent="0.25">
      <c r="P105" s="25">
        <v>5</v>
      </c>
      <c r="Q105" s="6" t="s">
        <v>163</v>
      </c>
      <c r="R105" s="5">
        <v>3</v>
      </c>
      <c r="S105" s="30">
        <v>0.6</v>
      </c>
      <c r="T105" s="5" t="s">
        <v>512</v>
      </c>
    </row>
    <row r="106" spans="1:28" ht="22.5" customHeight="1" x14ac:dyDescent="0.25">
      <c r="P106" s="26">
        <v>6</v>
      </c>
      <c r="Q106" s="65" t="s">
        <v>104</v>
      </c>
      <c r="R106" s="31">
        <v>0</v>
      </c>
      <c r="S106" s="32">
        <v>0</v>
      </c>
      <c r="T106" s="5" t="s">
        <v>512</v>
      </c>
    </row>
    <row r="107" spans="1:28" ht="22.5" customHeight="1" x14ac:dyDescent="0.25">
      <c r="S107" s="29" t="s">
        <v>466</v>
      </c>
    </row>
    <row r="108" spans="1:28" ht="22.5" customHeight="1" x14ac:dyDescent="0.25">
      <c r="O108" s="184"/>
      <c r="P108" s="62">
        <v>1</v>
      </c>
      <c r="Q108" s="58" t="s">
        <v>113</v>
      </c>
      <c r="R108" s="57">
        <v>15</v>
      </c>
      <c r="S108" s="63">
        <v>3</v>
      </c>
      <c r="T108" s="5" t="s">
        <v>511</v>
      </c>
    </row>
    <row r="109" spans="1:28" ht="22.5" customHeight="1" x14ac:dyDescent="0.25">
      <c r="P109" s="25">
        <v>2</v>
      </c>
      <c r="Q109" s="6" t="s">
        <v>155</v>
      </c>
      <c r="R109" s="5">
        <v>12</v>
      </c>
      <c r="S109" s="30">
        <v>2.4</v>
      </c>
      <c r="T109" s="5" t="s">
        <v>511</v>
      </c>
    </row>
    <row r="110" spans="1:28" ht="22.5" customHeight="1" x14ac:dyDescent="0.25">
      <c r="P110" s="25">
        <v>3</v>
      </c>
      <c r="Q110" s="6" t="s">
        <v>165</v>
      </c>
      <c r="R110" s="5">
        <v>6</v>
      </c>
      <c r="S110" s="30">
        <v>1.2</v>
      </c>
      <c r="T110" s="5" t="s">
        <v>508</v>
      </c>
    </row>
    <row r="111" spans="1:28" ht="22.5" customHeight="1" x14ac:dyDescent="0.25">
      <c r="P111" s="25">
        <v>4</v>
      </c>
      <c r="Q111" s="6" t="s">
        <v>239</v>
      </c>
      <c r="R111" s="5">
        <v>6</v>
      </c>
      <c r="S111" s="30">
        <v>1.2</v>
      </c>
      <c r="T111" s="5" t="s">
        <v>508</v>
      </c>
    </row>
    <row r="112" spans="1:28" ht="22.5" customHeight="1" x14ac:dyDescent="0.25">
      <c r="P112" s="25">
        <v>5</v>
      </c>
      <c r="Q112" s="6" t="s">
        <v>73</v>
      </c>
      <c r="R112" s="5">
        <v>6</v>
      </c>
      <c r="S112" s="30">
        <v>1.2</v>
      </c>
      <c r="T112" s="5" t="s">
        <v>508</v>
      </c>
    </row>
    <row r="113" spans="16:20" ht="22.5" customHeight="1" x14ac:dyDescent="0.25">
      <c r="P113" s="26">
        <v>6</v>
      </c>
      <c r="Q113" s="65" t="s">
        <v>130</v>
      </c>
      <c r="R113" s="31">
        <v>0</v>
      </c>
      <c r="S113" s="32">
        <v>0</v>
      </c>
      <c r="T113" s="5" t="s">
        <v>512</v>
      </c>
    </row>
    <row r="114" spans="16:20" ht="22.5" customHeight="1" x14ac:dyDescent="0.25">
      <c r="S114" s="29" t="s">
        <v>466</v>
      </c>
    </row>
    <row r="115" spans="16:20" ht="22.5" customHeight="1" x14ac:dyDescent="0.25">
      <c r="P115" s="62">
        <v>1</v>
      </c>
      <c r="Q115" s="58" t="s">
        <v>166</v>
      </c>
      <c r="R115" s="57">
        <v>15</v>
      </c>
      <c r="S115" s="63">
        <v>3</v>
      </c>
      <c r="T115" s="5" t="s">
        <v>508</v>
      </c>
    </row>
    <row r="116" spans="16:20" ht="22.5" customHeight="1" x14ac:dyDescent="0.25">
      <c r="P116" s="25">
        <v>2</v>
      </c>
      <c r="Q116" s="6" t="s">
        <v>156</v>
      </c>
      <c r="R116" s="5">
        <v>10</v>
      </c>
      <c r="S116" s="30">
        <v>2</v>
      </c>
      <c r="T116" s="5" t="s">
        <v>508</v>
      </c>
    </row>
    <row r="117" spans="16:20" ht="22.5" customHeight="1" x14ac:dyDescent="0.25">
      <c r="P117" s="25">
        <v>3</v>
      </c>
      <c r="Q117" s="6" t="s">
        <v>480</v>
      </c>
      <c r="R117" s="5">
        <v>9</v>
      </c>
      <c r="S117" s="30">
        <v>1.8</v>
      </c>
      <c r="T117" s="5" t="s">
        <v>508</v>
      </c>
    </row>
    <row r="118" spans="16:20" ht="22.5" customHeight="1" x14ac:dyDescent="0.25">
      <c r="P118" s="25">
        <v>4</v>
      </c>
      <c r="Q118" s="6" t="s">
        <v>481</v>
      </c>
      <c r="R118" s="5">
        <v>6</v>
      </c>
      <c r="S118" s="30">
        <v>1.2</v>
      </c>
      <c r="T118" s="5" t="s">
        <v>512</v>
      </c>
    </row>
    <row r="119" spans="16:20" ht="22.5" customHeight="1" x14ac:dyDescent="0.25">
      <c r="P119" s="25">
        <v>5</v>
      </c>
      <c r="Q119" s="6" t="s">
        <v>482</v>
      </c>
      <c r="R119" s="5">
        <v>4</v>
      </c>
      <c r="S119" s="30">
        <v>0.8</v>
      </c>
      <c r="T119" s="5" t="s">
        <v>512</v>
      </c>
    </row>
    <row r="120" spans="16:20" ht="22.5" customHeight="1" x14ac:dyDescent="0.25">
      <c r="P120" s="26">
        <v>6</v>
      </c>
      <c r="Q120" s="65" t="s">
        <v>238</v>
      </c>
      <c r="R120" s="31">
        <v>0</v>
      </c>
      <c r="S120" s="32">
        <v>0</v>
      </c>
      <c r="T120" s="5" t="s">
        <v>512</v>
      </c>
    </row>
    <row r="121" spans="16:20" ht="22.5" customHeight="1" x14ac:dyDescent="0.25">
      <c r="S121" s="29" t="s">
        <v>466</v>
      </c>
    </row>
    <row r="122" spans="16:20" ht="22.5" customHeight="1" x14ac:dyDescent="0.25">
      <c r="P122" s="62">
        <v>1</v>
      </c>
      <c r="Q122" s="58" t="s">
        <v>96</v>
      </c>
      <c r="R122" s="57">
        <v>11</v>
      </c>
      <c r="S122" s="63">
        <v>2.2000000000000002</v>
      </c>
      <c r="T122" s="5" t="s">
        <v>508</v>
      </c>
    </row>
    <row r="123" spans="16:20" ht="22.5" customHeight="1" x14ac:dyDescent="0.25">
      <c r="P123" s="25">
        <v>2</v>
      </c>
      <c r="Q123" s="6" t="s">
        <v>483</v>
      </c>
      <c r="R123" s="5">
        <v>8</v>
      </c>
      <c r="S123" s="30">
        <v>2</v>
      </c>
      <c r="T123" s="5" t="s">
        <v>508</v>
      </c>
    </row>
    <row r="124" spans="16:20" ht="22.5" customHeight="1" x14ac:dyDescent="0.25">
      <c r="P124" s="25">
        <v>3</v>
      </c>
      <c r="Q124" s="6" t="s">
        <v>91</v>
      </c>
      <c r="R124" s="5">
        <v>7</v>
      </c>
      <c r="S124" s="30">
        <v>1.4</v>
      </c>
      <c r="T124" s="5" t="s">
        <v>508</v>
      </c>
    </row>
    <row r="125" spans="16:20" ht="22.5" customHeight="1" x14ac:dyDescent="0.25">
      <c r="P125" s="25">
        <v>4</v>
      </c>
      <c r="Q125" s="6" t="s">
        <v>159</v>
      </c>
      <c r="R125" s="5">
        <v>7</v>
      </c>
      <c r="S125" s="30">
        <v>1.4</v>
      </c>
      <c r="T125" s="5" t="s">
        <v>508</v>
      </c>
    </row>
    <row r="126" spans="16:20" ht="22.5" customHeight="1" x14ac:dyDescent="0.25">
      <c r="P126" s="25">
        <v>5</v>
      </c>
      <c r="Q126" s="6" t="s">
        <v>85</v>
      </c>
      <c r="R126" s="5">
        <v>5</v>
      </c>
      <c r="S126" s="30">
        <v>1</v>
      </c>
      <c r="T126" s="5" t="s">
        <v>508</v>
      </c>
    </row>
    <row r="127" spans="16:20" ht="22.5" customHeight="1" x14ac:dyDescent="0.25">
      <c r="P127" s="26">
        <v>6</v>
      </c>
      <c r="Q127" s="65" t="s">
        <v>164</v>
      </c>
      <c r="R127" s="31">
        <v>0</v>
      </c>
      <c r="S127" s="32">
        <v>0</v>
      </c>
      <c r="T127" s="5" t="s">
        <v>512</v>
      </c>
    </row>
    <row r="128" spans="16:20" ht="22.5" customHeight="1" x14ac:dyDescent="0.25">
      <c r="S128" s="29" t="s">
        <v>466</v>
      </c>
    </row>
    <row r="129" spans="15:20" ht="22.5" customHeight="1" x14ac:dyDescent="0.25">
      <c r="O129" s="184"/>
      <c r="P129" s="62">
        <v>1</v>
      </c>
      <c r="Q129" s="58" t="s">
        <v>157</v>
      </c>
      <c r="R129" s="57">
        <v>15</v>
      </c>
      <c r="S129" s="63">
        <v>3</v>
      </c>
      <c r="T129" s="5" t="s">
        <v>511</v>
      </c>
    </row>
    <row r="130" spans="15:20" ht="22.5" customHeight="1" x14ac:dyDescent="0.25">
      <c r="P130" s="25">
        <v>2</v>
      </c>
      <c r="Q130" s="6" t="s">
        <v>129</v>
      </c>
      <c r="R130" s="5">
        <v>12</v>
      </c>
      <c r="S130" s="30">
        <v>2.4</v>
      </c>
      <c r="T130" s="5" t="s">
        <v>508</v>
      </c>
    </row>
    <row r="131" spans="15:20" ht="22.5" customHeight="1" x14ac:dyDescent="0.25">
      <c r="P131" s="25">
        <v>3</v>
      </c>
      <c r="Q131" s="6" t="s">
        <v>160</v>
      </c>
      <c r="R131" s="5">
        <v>9</v>
      </c>
      <c r="S131" s="30">
        <v>1.8</v>
      </c>
      <c r="T131" s="5" t="s">
        <v>508</v>
      </c>
    </row>
    <row r="132" spans="15:20" ht="22.5" customHeight="1" x14ac:dyDescent="0.25">
      <c r="P132" s="25">
        <v>4</v>
      </c>
      <c r="Q132" s="6" t="s">
        <v>484</v>
      </c>
      <c r="R132" s="5">
        <v>6</v>
      </c>
      <c r="S132" s="30">
        <v>1.2</v>
      </c>
      <c r="T132" s="5" t="s">
        <v>508</v>
      </c>
    </row>
    <row r="133" spans="15:20" ht="22.5" customHeight="1" x14ac:dyDescent="0.25">
      <c r="P133" s="25">
        <v>5</v>
      </c>
      <c r="Q133" s="6" t="s">
        <v>158</v>
      </c>
      <c r="R133" s="5">
        <v>3</v>
      </c>
      <c r="S133" s="30">
        <v>0.6</v>
      </c>
      <c r="T133" s="5" t="s">
        <v>512</v>
      </c>
    </row>
    <row r="134" spans="15:20" ht="22.5" customHeight="1" x14ac:dyDescent="0.25">
      <c r="P134" s="26">
        <v>6</v>
      </c>
      <c r="Q134" s="65" t="s">
        <v>112</v>
      </c>
      <c r="R134" s="31">
        <v>0</v>
      </c>
      <c r="S134" s="32">
        <v>0</v>
      </c>
      <c r="T134" s="5" t="s">
        <v>512</v>
      </c>
    </row>
    <row r="135" spans="15:20" ht="22.5" customHeight="1" x14ac:dyDescent="0.25">
      <c r="S135" s="29" t="s">
        <v>466</v>
      </c>
    </row>
    <row r="136" spans="15:20" ht="22.5" customHeight="1" x14ac:dyDescent="0.25">
      <c r="O136" s="184"/>
      <c r="P136" s="62">
        <v>1</v>
      </c>
      <c r="Q136" s="58" t="s">
        <v>110</v>
      </c>
      <c r="R136" s="57">
        <v>12</v>
      </c>
      <c r="S136" s="63">
        <v>3</v>
      </c>
      <c r="T136" s="5" t="s">
        <v>511</v>
      </c>
    </row>
    <row r="137" spans="15:20" ht="22.5" customHeight="1" x14ac:dyDescent="0.25">
      <c r="P137" s="25">
        <v>2</v>
      </c>
      <c r="Q137" s="6" t="s">
        <v>123</v>
      </c>
      <c r="R137" s="5">
        <v>7</v>
      </c>
      <c r="S137" s="30">
        <v>1.75</v>
      </c>
      <c r="T137" s="5" t="s">
        <v>508</v>
      </c>
    </row>
    <row r="138" spans="15:20" ht="22.5" customHeight="1" x14ac:dyDescent="0.25">
      <c r="P138" s="25">
        <v>3</v>
      </c>
      <c r="Q138" s="6" t="s">
        <v>300</v>
      </c>
      <c r="R138" s="5">
        <v>5</v>
      </c>
      <c r="S138" s="30">
        <v>1.25</v>
      </c>
      <c r="T138" s="5" t="s">
        <v>508</v>
      </c>
    </row>
    <row r="139" spans="15:20" ht="22.5" customHeight="1" x14ac:dyDescent="0.25">
      <c r="P139" s="25">
        <v>4</v>
      </c>
      <c r="Q139" s="6" t="s">
        <v>77</v>
      </c>
      <c r="R139" s="5">
        <v>3</v>
      </c>
      <c r="S139" s="30">
        <v>0.75</v>
      </c>
      <c r="T139" s="5" t="s">
        <v>512</v>
      </c>
    </row>
    <row r="140" spans="15:20" ht="22.5" customHeight="1" x14ac:dyDescent="0.25">
      <c r="P140" s="25">
        <v>5</v>
      </c>
      <c r="Q140" s="6" t="s">
        <v>485</v>
      </c>
      <c r="R140" s="5">
        <v>1</v>
      </c>
      <c r="S140" s="30">
        <v>0.25</v>
      </c>
      <c r="T140" s="5" t="s">
        <v>512</v>
      </c>
    </row>
    <row r="141" spans="15:20" ht="22.5" customHeight="1" x14ac:dyDescent="0.25">
      <c r="P141" s="104">
        <v>6</v>
      </c>
      <c r="Q141" s="153" t="s">
        <v>486</v>
      </c>
      <c r="R141" s="151">
        <v>0</v>
      </c>
      <c r="S141" s="152">
        <v>0</v>
      </c>
    </row>
    <row r="142" spans="15:20" ht="22.5" customHeight="1" x14ac:dyDescent="0.25">
      <c r="S142" s="29" t="s">
        <v>466</v>
      </c>
    </row>
    <row r="143" spans="15:20" ht="22.5" customHeight="1" x14ac:dyDescent="0.25">
      <c r="P143" s="62">
        <v>1</v>
      </c>
      <c r="Q143" s="58" t="s">
        <v>127</v>
      </c>
      <c r="R143" s="57">
        <v>13</v>
      </c>
      <c r="S143" s="63">
        <v>2.6</v>
      </c>
      <c r="T143" s="5" t="s">
        <v>511</v>
      </c>
    </row>
    <row r="144" spans="15:20" ht="22.5" customHeight="1" x14ac:dyDescent="0.25">
      <c r="P144" s="25">
        <v>2</v>
      </c>
      <c r="Q144" s="6" t="s">
        <v>126</v>
      </c>
      <c r="R144" s="5">
        <v>10</v>
      </c>
      <c r="S144" s="30">
        <v>2</v>
      </c>
      <c r="T144" s="5" t="s">
        <v>508</v>
      </c>
    </row>
    <row r="145" spans="16:20" ht="22.5" customHeight="1" x14ac:dyDescent="0.25">
      <c r="P145" s="25">
        <v>3</v>
      </c>
      <c r="Q145" s="6" t="s">
        <v>407</v>
      </c>
      <c r="R145" s="5">
        <v>9</v>
      </c>
      <c r="S145" s="30">
        <v>1.8</v>
      </c>
      <c r="T145" s="5" t="s">
        <v>508</v>
      </c>
    </row>
    <row r="146" spans="16:20" ht="22.5" customHeight="1" x14ac:dyDescent="0.25">
      <c r="P146" s="25">
        <v>4</v>
      </c>
      <c r="Q146" s="6" t="s">
        <v>57</v>
      </c>
      <c r="R146" s="5">
        <v>8</v>
      </c>
      <c r="S146" s="30">
        <v>1.6</v>
      </c>
      <c r="T146" s="5" t="s">
        <v>508</v>
      </c>
    </row>
    <row r="147" spans="16:20" ht="22.5" customHeight="1" x14ac:dyDescent="0.25">
      <c r="P147" s="25">
        <v>5</v>
      </c>
      <c r="Q147" s="6" t="s">
        <v>487</v>
      </c>
      <c r="R147" s="5">
        <v>3</v>
      </c>
      <c r="S147" s="30">
        <v>0.6</v>
      </c>
      <c r="T147" s="5" t="s">
        <v>512</v>
      </c>
    </row>
    <row r="148" spans="16:20" ht="22.5" customHeight="1" x14ac:dyDescent="0.25">
      <c r="P148" s="26">
        <v>6</v>
      </c>
      <c r="Q148" s="65" t="s">
        <v>488</v>
      </c>
      <c r="R148" s="31">
        <v>0</v>
      </c>
      <c r="S148" s="32">
        <v>0</v>
      </c>
      <c r="T148" s="5" t="s">
        <v>512</v>
      </c>
    </row>
    <row r="150" spans="16:20" ht="22.5" customHeight="1" x14ac:dyDescent="0.25">
      <c r="Q150" s="6" t="s">
        <v>513</v>
      </c>
      <c r="R150" s="5" t="s">
        <v>199</v>
      </c>
      <c r="S150" s="29" t="s">
        <v>199</v>
      </c>
      <c r="T150" s="5" t="s">
        <v>512</v>
      </c>
    </row>
    <row r="151" spans="16:20" ht="22.5" customHeight="1" x14ac:dyDescent="0.25">
      <c r="Q151" s="6" t="s">
        <v>514</v>
      </c>
      <c r="R151" s="5" t="s">
        <v>199</v>
      </c>
      <c r="S151" s="29" t="s">
        <v>199</v>
      </c>
      <c r="T151" s="5" t="s">
        <v>512</v>
      </c>
    </row>
    <row r="152" spans="16:20" ht="22.5" customHeight="1" x14ac:dyDescent="0.25">
      <c r="Q152" s="6" t="s">
        <v>409</v>
      </c>
      <c r="R152" s="5" t="s">
        <v>199</v>
      </c>
      <c r="S152" s="29" t="s">
        <v>199</v>
      </c>
      <c r="T152" s="5" t="s">
        <v>512</v>
      </c>
    </row>
    <row r="153" spans="16:20" ht="22.5" customHeight="1" x14ac:dyDescent="0.25">
      <c r="Q153" s="6" t="s">
        <v>516</v>
      </c>
      <c r="R153" s="5" t="s">
        <v>199</v>
      </c>
      <c r="S153" s="29" t="s">
        <v>199</v>
      </c>
      <c r="T153" s="5" t="s">
        <v>512</v>
      </c>
    </row>
    <row r="154" spans="16:20" ht="22.5" customHeight="1" x14ac:dyDescent="0.25">
      <c r="Q154" s="6" t="s">
        <v>517</v>
      </c>
      <c r="R154" s="5" t="s">
        <v>199</v>
      </c>
      <c r="S154" s="29" t="s">
        <v>199</v>
      </c>
      <c r="T154" s="5" t="s">
        <v>512</v>
      </c>
    </row>
    <row r="155" spans="16:20" ht="22.5" customHeight="1" x14ac:dyDescent="0.25">
      <c r="Q155" s="6" t="s">
        <v>518</v>
      </c>
      <c r="R155" s="5" t="s">
        <v>199</v>
      </c>
      <c r="S155" s="29" t="s">
        <v>199</v>
      </c>
      <c r="T155" s="5" t="s">
        <v>512</v>
      </c>
    </row>
    <row r="156" spans="16:20" ht="22.5" customHeight="1" x14ac:dyDescent="0.25">
      <c r="Q156" s="16" t="s">
        <v>504</v>
      </c>
      <c r="R156" s="5">
        <v>12</v>
      </c>
      <c r="S156" s="29">
        <v>2.4</v>
      </c>
      <c r="T156" s="5" t="s">
        <v>508</v>
      </c>
    </row>
    <row r="157" spans="16:20" ht="22.5" customHeight="1" x14ac:dyDescent="0.25">
      <c r="Q157" s="6" t="s">
        <v>528</v>
      </c>
      <c r="R157" s="5" t="s">
        <v>199</v>
      </c>
      <c r="S157" s="29" t="s">
        <v>199</v>
      </c>
      <c r="T157" s="5" t="s">
        <v>512</v>
      </c>
    </row>
  </sheetData>
  <mergeCells count="25">
    <mergeCell ref="K85:L85"/>
    <mergeCell ref="A85:B85"/>
    <mergeCell ref="F85:G85"/>
    <mergeCell ref="A1:G1"/>
    <mergeCell ref="A74:B74"/>
    <mergeCell ref="F74:G74"/>
    <mergeCell ref="K74:L74"/>
    <mergeCell ref="A4:B4"/>
    <mergeCell ref="F4:G4"/>
    <mergeCell ref="K4:L4"/>
    <mergeCell ref="A16:B16"/>
    <mergeCell ref="F16:G16"/>
    <mergeCell ref="K16:L16"/>
    <mergeCell ref="A28:B28"/>
    <mergeCell ref="F28:G28"/>
    <mergeCell ref="K28:L28"/>
    <mergeCell ref="A63:B63"/>
    <mergeCell ref="F63:G63"/>
    <mergeCell ref="K63:L63"/>
    <mergeCell ref="A40:B40"/>
    <mergeCell ref="F40:G40"/>
    <mergeCell ref="K40:L40"/>
    <mergeCell ref="A52:B52"/>
    <mergeCell ref="F52:G52"/>
    <mergeCell ref="K52:L52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5" fitToHeight="0" orientation="landscape" r:id="rId1"/>
  <headerFooter alignWithMargins="0">
    <oddFooter>&amp;R&amp;"Arial Narrow,Standard"Seite &amp;P von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5263-E5DF-4FF5-A224-5904AC6B45A3}">
  <dimension ref="A1:I16"/>
  <sheetViews>
    <sheetView workbookViewId="0">
      <selection activeCell="B12" sqref="B12"/>
    </sheetView>
  </sheetViews>
  <sheetFormatPr baseColWidth="10" defaultRowHeight="15" x14ac:dyDescent="0.25"/>
  <cols>
    <col min="1" max="1" width="21.28515625" bestFit="1" customWidth="1"/>
  </cols>
  <sheetData>
    <row r="1" spans="1:9" x14ac:dyDescent="0.25">
      <c r="C1" t="s">
        <v>540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</row>
    <row r="2" spans="1:9" x14ac:dyDescent="0.25">
      <c r="A2" t="s">
        <v>120</v>
      </c>
      <c r="B2" s="189">
        <f>SUM(C2:I2)</f>
        <v>9</v>
      </c>
      <c r="C2" s="189"/>
      <c r="D2" s="189">
        <f>COUNTIF('A-Junioren'!A:N,A2)</f>
        <v>3</v>
      </c>
      <c r="E2" s="189">
        <f>COUNTIF('B-Junioren'!A:N,A2)</f>
        <v>0</v>
      </c>
      <c r="F2" s="189">
        <f>COUNTIF('C-Junioren'!A:N,A2)</f>
        <v>0</v>
      </c>
      <c r="G2" s="189">
        <f>COUNTIF('D-Junioren'!A:N,A2)</f>
        <v>0</v>
      </c>
      <c r="H2" s="189">
        <f>COUNTIF('E-Junioren'!A:N,A2)</f>
        <v>6</v>
      </c>
      <c r="I2" s="189"/>
    </row>
    <row r="3" spans="1:9" x14ac:dyDescent="0.25">
      <c r="A3" t="s">
        <v>119</v>
      </c>
      <c r="B3" s="189">
        <f t="shared" ref="B3:B13" si="0">SUM(C3:I3)</f>
        <v>4</v>
      </c>
      <c r="C3" s="189">
        <v>1</v>
      </c>
      <c r="D3" s="189">
        <f>COUNTIF('A-Junioren'!A:N,A3)</f>
        <v>0</v>
      </c>
      <c r="E3" s="189">
        <f>COUNTIF('B-Junioren'!A:N,A3)</f>
        <v>3</v>
      </c>
      <c r="F3" s="189">
        <f>COUNTIF('C-Junioren'!A:N,A3)</f>
        <v>0</v>
      </c>
      <c r="G3" s="189">
        <f>COUNTIF('D-Junioren'!A:N,A3)</f>
        <v>0</v>
      </c>
      <c r="H3" s="189">
        <f>COUNTIF('E-Junioren'!A:N,A3)</f>
        <v>0</v>
      </c>
      <c r="I3" s="189"/>
    </row>
    <row r="4" spans="1:9" x14ac:dyDescent="0.25">
      <c r="A4" t="s">
        <v>530</v>
      </c>
      <c r="B4" s="189">
        <f t="shared" si="0"/>
        <v>3</v>
      </c>
      <c r="C4" s="189"/>
      <c r="D4" s="189">
        <f>COUNTIF('A-Junioren'!A:N,A4)</f>
        <v>0</v>
      </c>
      <c r="E4" s="189">
        <f>COUNTIF('B-Junioren'!A:N,A4)</f>
        <v>0</v>
      </c>
      <c r="F4" s="189">
        <f>COUNTIF('C-Junioren'!A:N,A4)</f>
        <v>3</v>
      </c>
      <c r="G4" s="189">
        <f>COUNTIF('D-Junioren'!A:N,A4)</f>
        <v>0</v>
      </c>
      <c r="H4" s="189">
        <f>COUNTIF('E-Junioren'!A:N,A4)</f>
        <v>0</v>
      </c>
      <c r="I4" s="189"/>
    </row>
    <row r="5" spans="1:9" x14ac:dyDescent="0.25">
      <c r="A5" t="s">
        <v>531</v>
      </c>
      <c r="B5" s="189">
        <f t="shared" si="0"/>
        <v>7</v>
      </c>
      <c r="C5" s="189"/>
      <c r="D5" s="189">
        <f>COUNTIF('A-Junioren'!A:N,A5)</f>
        <v>0</v>
      </c>
      <c r="E5" s="189">
        <f>COUNTIF('B-Junioren'!A:N,A5)</f>
        <v>0</v>
      </c>
      <c r="F5" s="189">
        <f>COUNTIF('C-Junioren'!A:N,A5)</f>
        <v>2</v>
      </c>
      <c r="G5" s="189">
        <f>COUNTIF('D-Junioren'!A:N,A5)</f>
        <v>5</v>
      </c>
      <c r="H5" s="189">
        <f>COUNTIF('E-Junioren'!A:N,A5)</f>
        <v>0</v>
      </c>
      <c r="I5" s="189"/>
    </row>
    <row r="6" spans="1:9" x14ac:dyDescent="0.25">
      <c r="A6" t="s">
        <v>117</v>
      </c>
      <c r="B6" s="189">
        <f t="shared" si="0"/>
        <v>6</v>
      </c>
      <c r="C6" s="189"/>
      <c r="D6" s="189">
        <f>COUNTIF('A-Junioren'!A:N,A6)</f>
        <v>0</v>
      </c>
      <c r="E6" s="189">
        <f>COUNTIF('B-Junioren'!A:N,A6)</f>
        <v>0</v>
      </c>
      <c r="F6" s="189">
        <f>COUNTIF('C-Junioren'!A:N,A6)</f>
        <v>0</v>
      </c>
      <c r="G6" s="189">
        <f>COUNTIF('D-Junioren'!A:N,A6)</f>
        <v>6</v>
      </c>
      <c r="H6" s="189">
        <f>COUNTIF('E-Junioren'!A:N,A6)</f>
        <v>0</v>
      </c>
      <c r="I6" s="189"/>
    </row>
    <row r="7" spans="1:9" x14ac:dyDescent="0.25">
      <c r="A7" t="s">
        <v>532</v>
      </c>
      <c r="B7" s="189">
        <f t="shared" si="0"/>
        <v>10</v>
      </c>
      <c r="C7" s="189"/>
      <c r="D7" s="189">
        <f>COUNTIF('A-Junioren'!A:N,A7)</f>
        <v>0</v>
      </c>
      <c r="E7" s="189">
        <f>COUNTIF('B-Junioren'!A:N,A7)</f>
        <v>0</v>
      </c>
      <c r="F7" s="189">
        <f>COUNTIF('C-Junioren'!A:N,A7)</f>
        <v>0</v>
      </c>
      <c r="G7" s="189">
        <f>COUNTIF('D-Junioren'!A:N,A7)</f>
        <v>0</v>
      </c>
      <c r="H7" s="189">
        <f>COUNTIF('E-Junioren'!A:N,A7)</f>
        <v>10</v>
      </c>
      <c r="I7" s="189"/>
    </row>
    <row r="8" spans="1:9" x14ac:dyDescent="0.25">
      <c r="A8" t="s">
        <v>115</v>
      </c>
      <c r="B8" s="189">
        <f t="shared" si="0"/>
        <v>4</v>
      </c>
      <c r="C8" s="189">
        <v>1</v>
      </c>
      <c r="D8" s="189">
        <f>COUNTIF('A-Junioren'!A:N,A8)</f>
        <v>3</v>
      </c>
      <c r="E8" s="189">
        <f>COUNTIF('B-Junioren'!A:N,A8)</f>
        <v>0</v>
      </c>
      <c r="F8" s="189">
        <f>COUNTIF('C-Junioren'!A:N,A8)</f>
        <v>0</v>
      </c>
      <c r="G8" s="189">
        <f>COUNTIF('D-Junioren'!A:N,A8)</f>
        <v>0</v>
      </c>
      <c r="H8" s="189">
        <f>COUNTIF('E-Junioren'!A:N,A8)</f>
        <v>0</v>
      </c>
      <c r="I8" s="189"/>
    </row>
    <row r="9" spans="1:9" x14ac:dyDescent="0.25">
      <c r="A9" t="s">
        <v>114</v>
      </c>
      <c r="B9" s="189">
        <f t="shared" si="0"/>
        <v>5</v>
      </c>
      <c r="C9" s="189">
        <v>1</v>
      </c>
      <c r="D9" s="189">
        <f>COUNTIF('A-Junioren'!A:N,A9)</f>
        <v>0</v>
      </c>
      <c r="E9" s="189">
        <f>COUNTIF('B-Junioren'!A:N,A9)</f>
        <v>4</v>
      </c>
      <c r="F9" s="189">
        <f>COUNTIF('C-Junioren'!A:N,A9)</f>
        <v>0</v>
      </c>
      <c r="G9" s="189">
        <f>COUNTIF('D-Junioren'!A:N,A9)</f>
        <v>0</v>
      </c>
      <c r="H9" s="189">
        <f>COUNTIF('E-Junioren'!A:N,A9)</f>
        <v>0</v>
      </c>
      <c r="I9" s="189"/>
    </row>
    <row r="10" spans="1:9" x14ac:dyDescent="0.25">
      <c r="A10" t="s">
        <v>116</v>
      </c>
      <c r="B10" s="189">
        <f t="shared" si="0"/>
        <v>7</v>
      </c>
      <c r="C10" s="189"/>
      <c r="D10" s="189">
        <f>COUNTIF('A-Junioren'!A:N,A10)</f>
        <v>0</v>
      </c>
      <c r="E10" s="189">
        <f>COUNTIF('B-Junioren'!A:N,A10)</f>
        <v>0</v>
      </c>
      <c r="F10" s="189">
        <f>COUNTIF('C-Junioren'!A:N,A10)</f>
        <v>3</v>
      </c>
      <c r="G10" s="189">
        <f>COUNTIF('D-Junioren'!A:N,A10)</f>
        <v>1</v>
      </c>
      <c r="H10" s="189">
        <f>COUNTIF('E-Junioren'!A:N,A10)</f>
        <v>3</v>
      </c>
      <c r="I10" s="189"/>
    </row>
    <row r="11" spans="1:9" x14ac:dyDescent="0.25">
      <c r="A11" t="s">
        <v>118</v>
      </c>
      <c r="B11" s="189">
        <f t="shared" si="0"/>
        <v>9</v>
      </c>
      <c r="C11" s="189"/>
      <c r="D11" s="189">
        <f>COUNTIF('A-Junioren'!A:N,A11)</f>
        <v>0</v>
      </c>
      <c r="E11" s="189">
        <f>COUNTIF('B-Junioren'!A:N,A11)</f>
        <v>0</v>
      </c>
      <c r="F11" s="189">
        <f>COUNTIF('C-Junioren'!A:N,A11)</f>
        <v>0</v>
      </c>
      <c r="G11" s="189">
        <f>COUNTIF('D-Junioren'!A:N,A11)</f>
        <v>4</v>
      </c>
      <c r="H11" s="189">
        <f>COUNTIF('E-Junioren'!A:N,A11)</f>
        <v>5</v>
      </c>
      <c r="I11" s="189"/>
    </row>
    <row r="12" spans="1:9" x14ac:dyDescent="0.25">
      <c r="A12" t="s">
        <v>525</v>
      </c>
      <c r="B12" s="189">
        <f t="shared" si="0"/>
        <v>3</v>
      </c>
      <c r="C12" s="189"/>
      <c r="D12" s="189">
        <f>COUNTIF('A-Junioren'!A:N,A12)</f>
        <v>0</v>
      </c>
      <c r="E12" s="189">
        <f>COUNTIF('B-Junioren'!A:N,A12)</f>
        <v>1</v>
      </c>
      <c r="F12" s="189">
        <f>COUNTIF('C-Junioren'!A:N,A12)</f>
        <v>2</v>
      </c>
      <c r="G12" s="189">
        <f>COUNTIF('D-Junioren'!A:N,A12)</f>
        <v>0</v>
      </c>
      <c r="H12" s="189">
        <f>COUNTIF('E-Junioren'!A:N,A12)</f>
        <v>0</v>
      </c>
      <c r="I12" s="189"/>
    </row>
    <row r="13" spans="1:9" x14ac:dyDescent="0.25">
      <c r="A13" t="s">
        <v>539</v>
      </c>
      <c r="B13" s="189">
        <f t="shared" si="0"/>
        <v>0</v>
      </c>
      <c r="C13" s="189"/>
      <c r="D13" s="189">
        <f>COUNTIF('A-Junioren'!A:N,A13)</f>
        <v>0</v>
      </c>
      <c r="E13" s="189">
        <f>COUNTIF('B-Junioren'!A:N,A13)</f>
        <v>0</v>
      </c>
      <c r="F13" s="189">
        <f>COUNTIF('C-Junioren'!A:N,A13)</f>
        <v>0</v>
      </c>
      <c r="G13" s="189">
        <f>COUNTIF('D-Junioren'!A:N,A13)</f>
        <v>0</v>
      </c>
      <c r="H13" s="189">
        <f>COUNTIF('E-Junioren'!A:N,A13)</f>
        <v>0</v>
      </c>
      <c r="I13" s="189"/>
    </row>
    <row r="14" spans="1:9" x14ac:dyDescent="0.25">
      <c r="B14" s="190">
        <f>SUM(B2:B13)</f>
        <v>67</v>
      </c>
      <c r="C14" s="190"/>
      <c r="D14" s="190">
        <f t="shared" ref="D14:I14" si="1">SUM(D2:D13)</f>
        <v>6</v>
      </c>
      <c r="E14" s="190">
        <f t="shared" si="1"/>
        <v>8</v>
      </c>
      <c r="F14" s="190">
        <f t="shared" si="1"/>
        <v>10</v>
      </c>
      <c r="G14" s="190">
        <f t="shared" si="1"/>
        <v>16</v>
      </c>
      <c r="H14" s="190">
        <f t="shared" si="1"/>
        <v>24</v>
      </c>
      <c r="I14" s="190">
        <f t="shared" si="1"/>
        <v>0</v>
      </c>
    </row>
    <row r="15" spans="1:9" x14ac:dyDescent="0.25">
      <c r="B15" s="189"/>
      <c r="C15" s="189"/>
      <c r="D15" s="189"/>
      <c r="E15" s="189"/>
      <c r="F15" s="189"/>
      <c r="G15" s="189"/>
      <c r="H15" s="189"/>
      <c r="I15" s="189"/>
    </row>
    <row r="16" spans="1:9" x14ac:dyDescent="0.25">
      <c r="B16" s="189"/>
      <c r="C16" s="189"/>
      <c r="D16" s="189">
        <v>7</v>
      </c>
      <c r="E16" s="189">
        <v>10</v>
      </c>
      <c r="F16" s="189">
        <v>12</v>
      </c>
      <c r="G16" s="189">
        <v>18</v>
      </c>
      <c r="H16" s="189">
        <v>30</v>
      </c>
      <c r="I16" s="189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10</vt:i4>
      </vt:variant>
    </vt:vector>
  </HeadingPairs>
  <TitlesOfParts>
    <vt:vector size="16" baseType="lpstr">
      <vt:lpstr>A-Junioren</vt:lpstr>
      <vt:lpstr>B-Junioren</vt:lpstr>
      <vt:lpstr>C-Junioren</vt:lpstr>
      <vt:lpstr>D-Junioren</vt:lpstr>
      <vt:lpstr>E-Junioren</vt:lpstr>
      <vt:lpstr>Tabelle1</vt:lpstr>
      <vt:lpstr>'A-Junioren'!Druckbereich</vt:lpstr>
      <vt:lpstr>'B-Junioren'!Druckbereich</vt:lpstr>
      <vt:lpstr>'C-Junioren'!Druckbereich</vt:lpstr>
      <vt:lpstr>'D-Junioren'!Druckbereich</vt:lpstr>
      <vt:lpstr>'E-Junioren'!Druckbereich</vt:lpstr>
      <vt:lpstr>'A-Junioren'!Drucktitel</vt:lpstr>
      <vt:lpstr>'B-Junioren'!Drucktitel</vt:lpstr>
      <vt:lpstr>'C-Junioren'!Drucktitel</vt:lpstr>
      <vt:lpstr>'D-Junioren'!Drucktitel</vt:lpstr>
      <vt:lpstr>'E-Junioren'!Drucktitel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</dc:creator>
  <cp:lastModifiedBy>Jochen Thalacker</cp:lastModifiedBy>
  <cp:lastPrinted>2025-12-30T20:43:59Z</cp:lastPrinted>
  <dcterms:created xsi:type="dcterms:W3CDTF">2024-07-18T07:40:56Z</dcterms:created>
  <dcterms:modified xsi:type="dcterms:W3CDTF">2026-04-12T09:56:09Z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22b1c8-5473-4dd7-bc25-cbc3cc84827d_Enabled">
    <vt:lpwstr>true</vt:lpwstr>
  </property>
  <property fmtid="{D5CDD505-2E9C-101B-9397-08002B2CF9AE}" pid="3" name="MSIP_Label_d122b1c8-5473-4dd7-bc25-cbc3cc84827d_SetDate">
    <vt:lpwstr>2024-07-18T15:14:44Z</vt:lpwstr>
  </property>
  <property fmtid="{D5CDD505-2E9C-101B-9397-08002B2CF9AE}" pid="4" name="MSIP_Label_d122b1c8-5473-4dd7-bc25-cbc3cc84827d_Method">
    <vt:lpwstr>Standard</vt:lpwstr>
  </property>
  <property fmtid="{D5CDD505-2E9C-101B-9397-08002B2CF9AE}" pid="5" name="MSIP_Label_d122b1c8-5473-4dd7-bc25-cbc3cc84827d_Name">
    <vt:lpwstr>SHG-Intern</vt:lpwstr>
  </property>
  <property fmtid="{D5CDD505-2E9C-101B-9397-08002B2CF9AE}" pid="6" name="MSIP_Label_d122b1c8-5473-4dd7-bc25-cbc3cc84827d_SiteId">
    <vt:lpwstr>bc975425-3282-4beb-ad12-1cc18b1d7039</vt:lpwstr>
  </property>
  <property fmtid="{D5CDD505-2E9C-101B-9397-08002B2CF9AE}" pid="7" name="MSIP_Label_d122b1c8-5473-4dd7-bc25-cbc3cc84827d_ActionId">
    <vt:lpwstr>37cacf00-05d0-4619-a638-8187fb1bb6d0</vt:lpwstr>
  </property>
  <property fmtid="{D5CDD505-2E9C-101B-9397-08002B2CF9AE}" pid="8" name="MSIP_Label_d122b1c8-5473-4dd7-bc25-cbc3cc84827d_ContentBits">
    <vt:lpwstr>0</vt:lpwstr>
  </property>
</Properties>
</file>