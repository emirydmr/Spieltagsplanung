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okumente\Fußball\06 - BJSL\Saison 25-26\Input Studenten\"/>
    </mc:Choice>
  </mc:AlternateContent>
  <xr:revisionPtr revIDLastSave="0" documentId="13_ncr:1_{BF57565B-1517-471D-803D-B58A0A412C8B}" xr6:coauthVersionLast="47" xr6:coauthVersionMax="47" xr10:uidLastSave="{00000000-0000-0000-0000-000000000000}"/>
  <bookViews>
    <workbookView xWindow="1875" yWindow="1650" windowWidth="26280" windowHeight="15855" xr2:uid="{2F42645B-95C4-4D64-94EB-CF8D6F7C213F}"/>
  </bookViews>
  <sheets>
    <sheet name="Erweiterte Meldedaten" sheetId="1" r:id="rId1"/>
  </sheets>
  <definedNames>
    <definedName name="_xlnm._FilterDatabase" localSheetId="0" hidden="1">'Erweiterte Meldedaten'!$A$3:$AI$574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F572" i="1" l="1"/>
  <c r="AI572" i="1" s="1"/>
  <c r="A574" i="1"/>
  <c r="AF570" i="1"/>
  <c r="AI570" i="1" s="1"/>
  <c r="A573" i="1"/>
  <c r="AF569" i="1"/>
  <c r="AG569" i="1" s="1"/>
  <c r="A572" i="1"/>
  <c r="AF574" i="1"/>
  <c r="AI574" i="1" s="1"/>
  <c r="A571" i="1"/>
  <c r="AF571" i="1"/>
  <c r="A570" i="1"/>
  <c r="AF573" i="1"/>
  <c r="AG573" i="1" s="1"/>
  <c r="A569" i="1"/>
  <c r="AF566" i="1"/>
  <c r="AI566" i="1" s="1"/>
  <c r="A568" i="1"/>
  <c r="AF567" i="1"/>
  <c r="AH567" i="1" s="1"/>
  <c r="A567" i="1"/>
  <c r="AF565" i="1"/>
  <c r="AI565" i="1" s="1"/>
  <c r="A566" i="1"/>
  <c r="AF564" i="1"/>
  <c r="AI564" i="1" s="1"/>
  <c r="A565" i="1"/>
  <c r="AF563" i="1"/>
  <c r="AH563" i="1" s="1"/>
  <c r="A564" i="1"/>
  <c r="AF568" i="1"/>
  <c r="AG568" i="1" s="1"/>
  <c r="A563" i="1"/>
  <c r="AF560" i="1"/>
  <c r="AI560" i="1" s="1"/>
  <c r="A562" i="1"/>
  <c r="AF562" i="1"/>
  <c r="AI562" i="1" s="1"/>
  <c r="A561" i="1"/>
  <c r="AF561" i="1"/>
  <c r="AG561" i="1" s="1"/>
  <c r="A560" i="1"/>
  <c r="AF558" i="1"/>
  <c r="AI558" i="1" s="1"/>
  <c r="A559" i="1"/>
  <c r="AF557" i="1"/>
  <c r="A558" i="1"/>
  <c r="AF556" i="1"/>
  <c r="AG556" i="1" s="1"/>
  <c r="A557" i="1"/>
  <c r="AF559" i="1"/>
  <c r="AI559" i="1" s="1"/>
  <c r="A556" i="1"/>
  <c r="AF550" i="1"/>
  <c r="AH550" i="1" s="1"/>
  <c r="A555" i="1"/>
  <c r="AF554" i="1"/>
  <c r="AI554" i="1" s="1"/>
  <c r="A554" i="1"/>
  <c r="AF555" i="1"/>
  <c r="AI555" i="1" s="1"/>
  <c r="A553" i="1"/>
  <c r="AF552" i="1"/>
  <c r="AH552" i="1" s="1"/>
  <c r="A552" i="1"/>
  <c r="AF549" i="1"/>
  <c r="AG549" i="1" s="1"/>
  <c r="A551" i="1"/>
  <c r="AF553" i="1"/>
  <c r="AI553" i="1" s="1"/>
  <c r="A550" i="1"/>
  <c r="AF551" i="1"/>
  <c r="AI551" i="1" s="1"/>
  <c r="A549" i="1"/>
  <c r="AF543" i="1"/>
  <c r="AG543" i="1" s="1"/>
  <c r="A548" i="1"/>
  <c r="AF546" i="1"/>
  <c r="AI546" i="1" s="1"/>
  <c r="A547" i="1"/>
  <c r="AF542" i="1"/>
  <c r="A546" i="1"/>
  <c r="AF545" i="1"/>
  <c r="AG545" i="1" s="1"/>
  <c r="A545" i="1"/>
  <c r="AF547" i="1"/>
  <c r="AI547" i="1" s="1"/>
  <c r="A544" i="1"/>
  <c r="AF544" i="1"/>
  <c r="AH544" i="1" s="1"/>
  <c r="A543" i="1"/>
  <c r="AF548" i="1"/>
  <c r="AI548" i="1" s="1"/>
  <c r="A542" i="1"/>
  <c r="AF537" i="1"/>
  <c r="AI537" i="1" s="1"/>
  <c r="A541" i="1"/>
  <c r="AF538" i="1"/>
  <c r="AH538" i="1" s="1"/>
  <c r="A540" i="1"/>
  <c r="AF535" i="1"/>
  <c r="AG535" i="1" s="1"/>
  <c r="A539" i="1"/>
  <c r="AF541" i="1"/>
  <c r="AI541" i="1" s="1"/>
  <c r="A538" i="1"/>
  <c r="AF540" i="1"/>
  <c r="AI540" i="1" s="1"/>
  <c r="A537" i="1"/>
  <c r="AF539" i="1"/>
  <c r="AG539" i="1" s="1"/>
  <c r="A536" i="1"/>
  <c r="AF536" i="1"/>
  <c r="AI536" i="1" s="1"/>
  <c r="A535" i="1"/>
  <c r="AF529" i="1"/>
  <c r="A534" i="1"/>
  <c r="AF533" i="1"/>
  <c r="AG533" i="1" s="1"/>
  <c r="A533" i="1"/>
  <c r="AF532" i="1"/>
  <c r="AH532" i="1" s="1"/>
  <c r="A532" i="1"/>
  <c r="AF530" i="1"/>
  <c r="AH530" i="1" s="1"/>
  <c r="A531" i="1"/>
  <c r="AF534" i="1"/>
  <c r="AI534" i="1" s="1"/>
  <c r="A530" i="1"/>
  <c r="AF528" i="1"/>
  <c r="AI528" i="1" s="1"/>
  <c r="A529" i="1"/>
  <c r="AF531" i="1"/>
  <c r="AH531" i="1" s="1"/>
  <c r="A528" i="1"/>
  <c r="AF527" i="1"/>
  <c r="AG527" i="1" s="1"/>
  <c r="A527" i="1"/>
  <c r="AF523" i="1"/>
  <c r="AH523" i="1" s="1"/>
  <c r="A526" i="1"/>
  <c r="AF526" i="1"/>
  <c r="AI526" i="1" s="1"/>
  <c r="A525" i="1"/>
  <c r="AF524" i="1"/>
  <c r="AG524" i="1" s="1"/>
  <c r="A524" i="1"/>
  <c r="AF522" i="1"/>
  <c r="AI522" i="1" s="1"/>
  <c r="A523" i="1"/>
  <c r="AF521" i="1"/>
  <c r="A522" i="1"/>
  <c r="AF525" i="1"/>
  <c r="AG525" i="1" s="1"/>
  <c r="A521" i="1"/>
  <c r="AF518" i="1"/>
  <c r="AH518" i="1" s="1"/>
  <c r="A520" i="1"/>
  <c r="AF519" i="1"/>
  <c r="AH519" i="1" s="1"/>
  <c r="A519" i="1"/>
  <c r="AF516" i="1"/>
  <c r="AI516" i="1" s="1"/>
  <c r="A518" i="1"/>
  <c r="AF515" i="1"/>
  <c r="AI515" i="1" s="1"/>
  <c r="A517" i="1"/>
  <c r="AF514" i="1"/>
  <c r="AH514" i="1" s="1"/>
  <c r="A516" i="1"/>
  <c r="AF520" i="1"/>
  <c r="AG520" i="1" s="1"/>
  <c r="A515" i="1"/>
  <c r="AF517" i="1"/>
  <c r="AH517" i="1" s="1"/>
  <c r="A514" i="1"/>
  <c r="AF507" i="1"/>
  <c r="AI507" i="1" s="1"/>
  <c r="A513" i="1"/>
  <c r="AF508" i="1"/>
  <c r="AG508" i="1" s="1"/>
  <c r="A512" i="1"/>
  <c r="AF512" i="1"/>
  <c r="AI512" i="1" s="1"/>
  <c r="A511" i="1"/>
  <c r="AF510" i="1"/>
  <c r="A510" i="1"/>
  <c r="AF513" i="1"/>
  <c r="AG513" i="1" s="1"/>
  <c r="A509" i="1"/>
  <c r="AF509" i="1"/>
  <c r="AI509" i="1" s="1"/>
  <c r="A508" i="1"/>
  <c r="AF511" i="1"/>
  <c r="AH511" i="1" s="1"/>
  <c r="A507" i="1"/>
  <c r="AF506" i="1"/>
  <c r="AI506" i="1" s="1"/>
  <c r="A506" i="1"/>
  <c r="AF502" i="1"/>
  <c r="AI502" i="1" s="1"/>
  <c r="A505" i="1"/>
  <c r="AF501" i="1"/>
  <c r="AH501" i="1" s="1"/>
  <c r="A504" i="1"/>
  <c r="AF500" i="1"/>
  <c r="AG500" i="1" s="1"/>
  <c r="A503" i="1"/>
  <c r="AF503" i="1"/>
  <c r="AH503" i="1" s="1"/>
  <c r="A502" i="1"/>
  <c r="AF504" i="1"/>
  <c r="AI504" i="1" s="1"/>
  <c r="A501" i="1"/>
  <c r="AF505" i="1"/>
  <c r="AG505" i="1" s="1"/>
  <c r="A500" i="1"/>
  <c r="AF493" i="1"/>
  <c r="AI493" i="1" s="1"/>
  <c r="A499" i="1"/>
  <c r="AF496" i="1"/>
  <c r="A498" i="1"/>
  <c r="AF494" i="1"/>
  <c r="AG494" i="1" s="1"/>
  <c r="A497" i="1"/>
  <c r="AF495" i="1"/>
  <c r="AI495" i="1" s="1"/>
  <c r="A496" i="1"/>
  <c r="AF498" i="1"/>
  <c r="AH498" i="1" s="1"/>
  <c r="A495" i="1"/>
  <c r="AF499" i="1"/>
  <c r="AI499" i="1" s="1"/>
  <c r="A494" i="1"/>
  <c r="AF497" i="1"/>
  <c r="AI497" i="1" s="1"/>
  <c r="A493" i="1"/>
  <c r="AF485" i="1"/>
  <c r="AG485" i="1" s="1"/>
  <c r="A492" i="1"/>
  <c r="AF492" i="1"/>
  <c r="AH492" i="1" s="1"/>
  <c r="A491" i="1"/>
  <c r="AF491" i="1"/>
  <c r="AI491" i="1" s="1"/>
  <c r="A490" i="1"/>
  <c r="AF487" i="1"/>
  <c r="AI487" i="1" s="1"/>
  <c r="A489" i="1"/>
  <c r="AF486" i="1"/>
  <c r="AG486" i="1" s="1"/>
  <c r="A488" i="1"/>
  <c r="AF490" i="1"/>
  <c r="AH490" i="1" s="1"/>
  <c r="A487" i="1"/>
  <c r="AF489" i="1"/>
  <c r="A486" i="1"/>
  <c r="AF488" i="1"/>
  <c r="AI488" i="1" s="1"/>
  <c r="A485" i="1"/>
  <c r="AF484" i="1"/>
  <c r="AH484" i="1" s="1"/>
  <c r="A484" i="1"/>
  <c r="AF478" i="1"/>
  <c r="AH478" i="1" s="1"/>
  <c r="A483" i="1"/>
  <c r="AF477" i="1"/>
  <c r="AI477" i="1" s="1"/>
  <c r="A482" i="1"/>
  <c r="AF479" i="1"/>
  <c r="AI479" i="1" s="1"/>
  <c r="A481" i="1"/>
  <c r="AF483" i="1"/>
  <c r="AG483" i="1" s="1"/>
  <c r="A480" i="1"/>
  <c r="AF480" i="1"/>
  <c r="AI480" i="1" s="1"/>
  <c r="A479" i="1"/>
  <c r="AF482" i="1"/>
  <c r="AI482" i="1" s="1"/>
  <c r="A478" i="1"/>
  <c r="AF481" i="1"/>
  <c r="AI481" i="1" s="1"/>
  <c r="A477" i="1"/>
  <c r="AF469" i="1"/>
  <c r="AG469" i="1" s="1"/>
  <c r="A476" i="1"/>
  <c r="AF472" i="1"/>
  <c r="AH472" i="1" s="1"/>
  <c r="A475" i="1"/>
  <c r="AF470" i="1"/>
  <c r="A474" i="1"/>
  <c r="AF474" i="1"/>
  <c r="AH474" i="1" s="1"/>
  <c r="A473" i="1"/>
  <c r="AF476" i="1"/>
  <c r="AI476" i="1" s="1"/>
  <c r="A472" i="1"/>
  <c r="AF473" i="1"/>
  <c r="AH473" i="1" s="1"/>
  <c r="A471" i="1"/>
  <c r="AF475" i="1"/>
  <c r="AI475" i="1" s="1"/>
  <c r="A470" i="1"/>
  <c r="AF471" i="1"/>
  <c r="AI471" i="1" s="1"/>
  <c r="A469" i="1"/>
  <c r="AF468" i="1"/>
  <c r="AG468" i="1" s="1"/>
  <c r="A468" i="1"/>
  <c r="AF461" i="1"/>
  <c r="AI461" i="1" s="1"/>
  <c r="A467" i="1"/>
  <c r="AF466" i="1"/>
  <c r="AI466" i="1" s="1"/>
  <c r="A466" i="1"/>
  <c r="AF463" i="1"/>
  <c r="AI463" i="1" s="1"/>
  <c r="A465" i="1"/>
  <c r="AF465" i="1"/>
  <c r="AG465" i="1" s="1"/>
  <c r="A464" i="1"/>
  <c r="AF467" i="1"/>
  <c r="AH467" i="1" s="1"/>
  <c r="A463" i="1"/>
  <c r="AF462" i="1"/>
  <c r="A462" i="1"/>
  <c r="AF464" i="1"/>
  <c r="AH464" i="1" s="1"/>
  <c r="A461" i="1"/>
  <c r="AF456" i="1"/>
  <c r="AI456" i="1" s="1"/>
  <c r="A460" i="1"/>
  <c r="AF460" i="1"/>
  <c r="A459" i="1"/>
  <c r="AF459" i="1"/>
  <c r="AI459" i="1" s="1"/>
  <c r="A458" i="1"/>
  <c r="AF458" i="1"/>
  <c r="AH458" i="1" s="1"/>
  <c r="A457" i="1"/>
  <c r="AF457" i="1"/>
  <c r="AG457" i="1" s="1"/>
  <c r="A456" i="1"/>
  <c r="AF455" i="1"/>
  <c r="AI455" i="1" s="1"/>
  <c r="A455" i="1"/>
  <c r="AF453" i="1"/>
  <c r="AI453" i="1" s="1"/>
  <c r="A454" i="1"/>
  <c r="AF454" i="1"/>
  <c r="A453" i="1"/>
  <c r="AF445" i="1"/>
  <c r="AG445" i="1" s="1"/>
  <c r="A452" i="1"/>
  <c r="AF447" i="1"/>
  <c r="AH447" i="1" s="1"/>
  <c r="A451" i="1"/>
  <c r="AF450" i="1"/>
  <c r="AI450" i="1" s="1"/>
  <c r="A450" i="1"/>
  <c r="AF451" i="1"/>
  <c r="AH451" i="1" s="1"/>
  <c r="A449" i="1"/>
  <c r="AF449" i="1"/>
  <c r="AI449" i="1" s="1"/>
  <c r="A448" i="1"/>
  <c r="AF446" i="1"/>
  <c r="AI446" i="1" s="1"/>
  <c r="A447" i="1"/>
  <c r="AF448" i="1"/>
  <c r="AI448" i="1" s="1"/>
  <c r="A446" i="1"/>
  <c r="AF452" i="1"/>
  <c r="AH452" i="1" s="1"/>
  <c r="A445" i="1"/>
  <c r="AF439" i="1"/>
  <c r="AG439" i="1" s="1"/>
  <c r="A444" i="1"/>
  <c r="AF442" i="1"/>
  <c r="AI442" i="1" s="1"/>
  <c r="A443" i="1"/>
  <c r="AF437" i="1"/>
  <c r="AI437" i="1" s="1"/>
  <c r="A442" i="1"/>
  <c r="AF440" i="1"/>
  <c r="A441" i="1"/>
  <c r="AF441" i="1"/>
  <c r="AG441" i="1" s="1"/>
  <c r="A440" i="1"/>
  <c r="AF443" i="1"/>
  <c r="AH443" i="1" s="1"/>
  <c r="A439" i="1"/>
  <c r="AF438" i="1"/>
  <c r="AI438" i="1" s="1"/>
  <c r="A438" i="1"/>
  <c r="AF444" i="1"/>
  <c r="AI444" i="1" s="1"/>
  <c r="A437" i="1"/>
  <c r="AF434" i="1"/>
  <c r="AI434" i="1" s="1"/>
  <c r="A436" i="1"/>
  <c r="AF430" i="1"/>
  <c r="AI430" i="1" s="1"/>
  <c r="A435" i="1"/>
  <c r="AF433" i="1"/>
  <c r="AI433" i="1" s="1"/>
  <c r="A434" i="1"/>
  <c r="AF432" i="1"/>
  <c r="AH432" i="1" s="1"/>
  <c r="A433" i="1"/>
  <c r="AF429" i="1"/>
  <c r="AG429" i="1" s="1"/>
  <c r="A432" i="1"/>
  <c r="AF435" i="1"/>
  <c r="AG435" i="1" s="1"/>
  <c r="A431" i="1"/>
  <c r="AF431" i="1"/>
  <c r="A430" i="1"/>
  <c r="AF436" i="1"/>
  <c r="A429" i="1"/>
  <c r="AF426" i="1"/>
  <c r="AG426" i="1" s="1"/>
  <c r="A428" i="1"/>
  <c r="AF424" i="1"/>
  <c r="AH424" i="1" s="1"/>
  <c r="A427" i="1"/>
  <c r="AF427" i="1"/>
  <c r="AI427" i="1" s="1"/>
  <c r="A426" i="1"/>
  <c r="AF425" i="1"/>
  <c r="AI425" i="1" s="1"/>
  <c r="A425" i="1"/>
  <c r="AF421" i="1"/>
  <c r="AI421" i="1" s="1"/>
  <c r="A424" i="1"/>
  <c r="AF422" i="1"/>
  <c r="A423" i="1"/>
  <c r="AF423" i="1"/>
  <c r="AI423" i="1" s="1"/>
  <c r="A422" i="1"/>
  <c r="AF428" i="1"/>
  <c r="AH428" i="1" s="1"/>
  <c r="A421" i="1"/>
  <c r="AF415" i="1"/>
  <c r="AH415" i="1" s="1"/>
  <c r="A420" i="1"/>
  <c r="AF420" i="1"/>
  <c r="AI420" i="1" s="1"/>
  <c r="A419" i="1"/>
  <c r="AF419" i="1"/>
  <c r="A418" i="1"/>
  <c r="AF416" i="1"/>
  <c r="A417" i="1"/>
  <c r="AF413" i="1"/>
  <c r="AG413" i="1" s="1"/>
  <c r="A416" i="1"/>
  <c r="AF414" i="1"/>
  <c r="AH414" i="1" s="1"/>
  <c r="A415" i="1"/>
  <c r="AF418" i="1"/>
  <c r="A414" i="1"/>
  <c r="AF417" i="1"/>
  <c r="AI417" i="1" s="1"/>
  <c r="A413" i="1"/>
  <c r="AF410" i="1"/>
  <c r="AI410" i="1" s="1"/>
  <c r="A412" i="1"/>
  <c r="AF408" i="1"/>
  <c r="AI408" i="1" s="1"/>
  <c r="A411" i="1"/>
  <c r="AF407" i="1"/>
  <c r="AI407" i="1" s="1"/>
  <c r="A410" i="1"/>
  <c r="AF406" i="1"/>
  <c r="AH406" i="1" s="1"/>
  <c r="A409" i="1"/>
  <c r="AF411" i="1"/>
  <c r="AH411" i="1" s="1"/>
  <c r="A408" i="1"/>
  <c r="AF405" i="1"/>
  <c r="AI405" i="1" s="1"/>
  <c r="A407" i="1"/>
  <c r="AF412" i="1"/>
  <c r="A406" i="1"/>
  <c r="AF409" i="1"/>
  <c r="A405" i="1"/>
  <c r="AF402" i="1"/>
  <c r="AG402" i="1" s="1"/>
  <c r="A404" i="1"/>
  <c r="AF399" i="1"/>
  <c r="AH399" i="1" s="1"/>
  <c r="A403" i="1"/>
  <c r="AF397" i="1"/>
  <c r="A402" i="1"/>
  <c r="AF398" i="1"/>
  <c r="AG398" i="1" s="1"/>
  <c r="A401" i="1"/>
  <c r="AF401" i="1"/>
  <c r="A400" i="1"/>
  <c r="AF400" i="1"/>
  <c r="A399" i="1"/>
  <c r="AF404" i="1"/>
  <c r="AI404" i="1" s="1"/>
  <c r="A398" i="1"/>
  <c r="AF403" i="1"/>
  <c r="AH403" i="1" s="1"/>
  <c r="A397" i="1"/>
  <c r="AF395" i="1"/>
  <c r="AI395" i="1" s="1"/>
  <c r="A396" i="1"/>
  <c r="AF392" i="1"/>
  <c r="AI392" i="1" s="1"/>
  <c r="A395" i="1"/>
  <c r="AF393" i="1"/>
  <c r="AG393" i="1" s="1"/>
  <c r="A394" i="1"/>
  <c r="AF396" i="1"/>
  <c r="A393" i="1"/>
  <c r="AF394" i="1"/>
  <c r="AG394" i="1" s="1"/>
  <c r="A392" i="1"/>
  <c r="AF389" i="1"/>
  <c r="AH389" i="1" s="1"/>
  <c r="A391" i="1"/>
  <c r="AF386" i="1"/>
  <c r="AG386" i="1" s="1"/>
  <c r="A390" i="1"/>
  <c r="AF388" i="1"/>
  <c r="AI388" i="1" s="1"/>
  <c r="A389" i="1"/>
  <c r="AF390" i="1"/>
  <c r="AG390" i="1" s="1"/>
  <c r="A388" i="1"/>
  <c r="AF387" i="1"/>
  <c r="AH387" i="1" s="1"/>
  <c r="A387" i="1"/>
  <c r="AF391" i="1"/>
  <c r="AI391" i="1" s="1"/>
  <c r="A386" i="1"/>
  <c r="AF382" i="1"/>
  <c r="AH382" i="1" s="1"/>
  <c r="A385" i="1"/>
  <c r="AF383" i="1"/>
  <c r="AI383" i="1" s="1"/>
  <c r="A384" i="1"/>
  <c r="AF379" i="1"/>
  <c r="AG379" i="1" s="1"/>
  <c r="A383" i="1"/>
  <c r="AF384" i="1"/>
  <c r="AI384" i="1" s="1"/>
  <c r="A382" i="1"/>
  <c r="AF372" i="1"/>
  <c r="A381" i="1"/>
  <c r="AF294" i="1"/>
  <c r="A380" i="1"/>
  <c r="AF375" i="1"/>
  <c r="AG375" i="1" s="1"/>
  <c r="A379" i="1"/>
  <c r="AF373" i="1"/>
  <c r="AG373" i="1" s="1"/>
  <c r="A378" i="1"/>
  <c r="AF380" i="1"/>
  <c r="AI380" i="1" s="1"/>
  <c r="A377" i="1"/>
  <c r="AF376" i="1"/>
  <c r="AI376" i="1" s="1"/>
  <c r="A376" i="1"/>
  <c r="AF377" i="1"/>
  <c r="AH377" i="1" s="1"/>
  <c r="A375" i="1"/>
  <c r="AF371" i="1"/>
  <c r="A374" i="1"/>
  <c r="AF368" i="1"/>
  <c r="AH368" i="1" s="1"/>
  <c r="A373" i="1"/>
  <c r="AF369" i="1"/>
  <c r="AI369" i="1" s="1"/>
  <c r="A372" i="1"/>
  <c r="AF370" i="1"/>
  <c r="AI370" i="1" s="1"/>
  <c r="A371" i="1"/>
  <c r="AF365" i="1"/>
  <c r="AI365" i="1" s="1"/>
  <c r="A370" i="1"/>
  <c r="AF367" i="1"/>
  <c r="AG367" i="1" s="1"/>
  <c r="A369" i="1"/>
  <c r="AF381" i="1"/>
  <c r="A368" i="1"/>
  <c r="AF364" i="1"/>
  <c r="AG364" i="1" s="1"/>
  <c r="A367" i="1"/>
  <c r="AF357" i="1"/>
  <c r="AG357" i="1" s="1"/>
  <c r="A366" i="1"/>
  <c r="AF363" i="1"/>
  <c r="AI363" i="1" s="1"/>
  <c r="A365" i="1"/>
  <c r="AF361" i="1"/>
  <c r="AI361" i="1" s="1"/>
  <c r="A364" i="1"/>
  <c r="AF360" i="1"/>
  <c r="AH360" i="1" s="1"/>
  <c r="A363" i="1"/>
  <c r="AF359" i="1"/>
  <c r="A362" i="1"/>
  <c r="AF358" i="1"/>
  <c r="AH358" i="1" s="1"/>
  <c r="A361" i="1"/>
  <c r="AF356" i="1"/>
  <c r="AI356" i="1" s="1"/>
  <c r="A360" i="1"/>
  <c r="AF362" i="1"/>
  <c r="AH362" i="1" s="1"/>
  <c r="A359" i="1"/>
  <c r="AF349" i="1"/>
  <c r="AI349" i="1" s="1"/>
  <c r="A358" i="1"/>
  <c r="AF355" i="1"/>
  <c r="A357" i="1"/>
  <c r="AF350" i="1"/>
  <c r="AH350" i="1" s="1"/>
  <c r="A356" i="1"/>
  <c r="AF351" i="1"/>
  <c r="AG351" i="1" s="1"/>
  <c r="A355" i="1"/>
  <c r="AF352" i="1"/>
  <c r="AG352" i="1" s="1"/>
  <c r="A354" i="1"/>
  <c r="AF354" i="1"/>
  <c r="AI354" i="1" s="1"/>
  <c r="A353" i="1"/>
  <c r="AF385" i="1"/>
  <c r="AI385" i="1" s="1"/>
  <c r="A352" i="1"/>
  <c r="AF348" i="1"/>
  <c r="AH348" i="1" s="1"/>
  <c r="A351" i="1"/>
  <c r="AF342" i="1"/>
  <c r="AI342" i="1" s="1"/>
  <c r="A350" i="1"/>
  <c r="AF345" i="1"/>
  <c r="AH345" i="1" s="1"/>
  <c r="A349" i="1"/>
  <c r="AF341" i="1"/>
  <c r="AI341" i="1" s="1"/>
  <c r="A348" i="1"/>
  <c r="AF346" i="1"/>
  <c r="AG346" i="1" s="1"/>
  <c r="A347" i="1"/>
  <c r="AF344" i="1"/>
  <c r="AI344" i="1" s="1"/>
  <c r="A346" i="1"/>
  <c r="AF343" i="1"/>
  <c r="A345" i="1"/>
  <c r="AF337" i="1"/>
  <c r="AH337" i="1" s="1"/>
  <c r="A344" i="1"/>
  <c r="AF334" i="1"/>
  <c r="AG334" i="1" s="1"/>
  <c r="A343" i="1"/>
  <c r="AF333" i="1"/>
  <c r="AG333" i="1" s="1"/>
  <c r="A342" i="1"/>
  <c r="AF338" i="1"/>
  <c r="AI338" i="1" s="1"/>
  <c r="A341" i="1"/>
  <c r="AF336" i="1"/>
  <c r="AI336" i="1" s="1"/>
  <c r="A340" i="1"/>
  <c r="AF339" i="1"/>
  <c r="AH339" i="1" s="1"/>
  <c r="A339" i="1"/>
  <c r="AF347" i="1"/>
  <c r="AI347" i="1" s="1"/>
  <c r="A338" i="1"/>
  <c r="AF335" i="1"/>
  <c r="AH335" i="1" s="1"/>
  <c r="A337" i="1"/>
  <c r="AF340" i="1"/>
  <c r="AH340" i="1" s="1"/>
  <c r="A336" i="1"/>
  <c r="AF327" i="1"/>
  <c r="AH327" i="1" s="1"/>
  <c r="A335" i="1"/>
  <c r="AF326" i="1"/>
  <c r="AI326" i="1" s="1"/>
  <c r="A334" i="1"/>
  <c r="AF325" i="1"/>
  <c r="A333" i="1"/>
  <c r="AF313" i="1"/>
  <c r="AH313" i="1" s="1"/>
  <c r="A332" i="1"/>
  <c r="AF320" i="1"/>
  <c r="AG320" i="1" s="1"/>
  <c r="A331" i="1"/>
  <c r="AF321" i="1"/>
  <c r="AG321" i="1" s="1"/>
  <c r="A330" i="1"/>
  <c r="AF353" i="1"/>
  <c r="AI353" i="1" s="1"/>
  <c r="A329" i="1"/>
  <c r="AF322" i="1"/>
  <c r="AI322" i="1" s="1"/>
  <c r="A328" i="1"/>
  <c r="AF332" i="1"/>
  <c r="AH332" i="1" s="1"/>
  <c r="A327" i="1"/>
  <c r="AF312" i="1"/>
  <c r="AI312" i="1" s="1"/>
  <c r="A326" i="1"/>
  <c r="AF317" i="1"/>
  <c r="AH317" i="1" s="1"/>
  <c r="A325" i="1"/>
  <c r="AF301" i="1"/>
  <c r="AH301" i="1" s="1"/>
  <c r="A324" i="1"/>
  <c r="AF311" i="1"/>
  <c r="AI311" i="1" s="1"/>
  <c r="A323" i="1"/>
  <c r="AF307" i="1"/>
  <c r="AI307" i="1" s="1"/>
  <c r="A322" i="1"/>
  <c r="AF306" i="1"/>
  <c r="AI306" i="1" s="1"/>
  <c r="A321" i="1"/>
  <c r="AF305" i="1"/>
  <c r="A320" i="1"/>
  <c r="AF374" i="1"/>
  <c r="AG374" i="1" s="1"/>
  <c r="A319" i="1"/>
  <c r="AF366" i="1"/>
  <c r="AG366" i="1" s="1"/>
  <c r="A318" i="1"/>
  <c r="AF378" i="1"/>
  <c r="A317" i="1"/>
  <c r="AF329" i="1"/>
  <c r="AI329" i="1" s="1"/>
  <c r="A316" i="1"/>
  <c r="AF330" i="1"/>
  <c r="AH330" i="1" s="1"/>
  <c r="A315" i="1"/>
  <c r="AF331" i="1"/>
  <c r="AH331" i="1" s="1"/>
  <c r="A314" i="1"/>
  <c r="AF309" i="1"/>
  <c r="AH309" i="1" s="1"/>
  <c r="A313" i="1"/>
  <c r="AF323" i="1"/>
  <c r="AI323" i="1" s="1"/>
  <c r="A312" i="1"/>
  <c r="AF324" i="1"/>
  <c r="AG324" i="1" s="1"/>
  <c r="A311" i="1"/>
  <c r="AF318" i="1"/>
  <c r="AI318" i="1" s="1"/>
  <c r="A310" i="1"/>
  <c r="AF319" i="1"/>
  <c r="AI319" i="1" s="1"/>
  <c r="A309" i="1"/>
  <c r="AF328" i="1"/>
  <c r="AH328" i="1" s="1"/>
  <c r="A308" i="1"/>
  <c r="AF314" i="1"/>
  <c r="AG314" i="1" s="1"/>
  <c r="A307" i="1"/>
  <c r="AF316" i="1"/>
  <c r="AG316" i="1" s="1"/>
  <c r="A306" i="1"/>
  <c r="AF315" i="1"/>
  <c r="AI315" i="1" s="1"/>
  <c r="A305" i="1"/>
  <c r="AF310" i="1"/>
  <c r="AG310" i="1" s="1"/>
  <c r="A304" i="1"/>
  <c r="AF303" i="1"/>
  <c r="A303" i="1"/>
  <c r="AF308" i="1"/>
  <c r="AH308" i="1" s="1"/>
  <c r="A302" i="1"/>
  <c r="AF302" i="1"/>
  <c r="AH302" i="1" s="1"/>
  <c r="A301" i="1"/>
  <c r="AF304" i="1"/>
  <c r="AH304" i="1" s="1"/>
  <c r="A300" i="1"/>
  <c r="AF299" i="1"/>
  <c r="AI299" i="1" s="1"/>
  <c r="A299" i="1"/>
  <c r="AF298" i="1"/>
  <c r="AI298" i="1" s="1"/>
  <c r="A298" i="1"/>
  <c r="AF295" i="1"/>
  <c r="AI295" i="1" s="1"/>
  <c r="A297" i="1"/>
  <c r="AF293" i="1"/>
  <c r="A296" i="1"/>
  <c r="AF297" i="1"/>
  <c r="AG297" i="1" s="1"/>
  <c r="A295" i="1"/>
  <c r="AF300" i="1"/>
  <c r="AG300" i="1" s="1"/>
  <c r="A294" i="1"/>
  <c r="AF296" i="1"/>
  <c r="AI296" i="1" s="1"/>
  <c r="A293" i="1"/>
  <c r="AF284" i="1"/>
  <c r="AI284" i="1" s="1"/>
  <c r="A292" i="1"/>
  <c r="AF290" i="1"/>
  <c r="AH290" i="1" s="1"/>
  <c r="A291" i="1"/>
  <c r="AF285" i="1"/>
  <c r="AH285" i="1" s="1"/>
  <c r="A290" i="1"/>
  <c r="AF288" i="1"/>
  <c r="AH288" i="1" s="1"/>
  <c r="A289" i="1"/>
  <c r="AF286" i="1"/>
  <c r="AI286" i="1" s="1"/>
  <c r="A288" i="1"/>
  <c r="AF289" i="1"/>
  <c r="AI289" i="1" s="1"/>
  <c r="A287" i="1"/>
  <c r="AF291" i="1"/>
  <c r="AI291" i="1" s="1"/>
  <c r="A286" i="1"/>
  <c r="AF292" i="1"/>
  <c r="AI292" i="1" s="1"/>
  <c r="A285" i="1"/>
  <c r="AF287" i="1"/>
  <c r="AI287" i="1" s="1"/>
  <c r="A284" i="1"/>
  <c r="AF281" i="1"/>
  <c r="AG281" i="1" s="1"/>
  <c r="A283" i="1"/>
  <c r="AF276" i="1"/>
  <c r="AG276" i="1" s="1"/>
  <c r="A282" i="1"/>
  <c r="AF283" i="1"/>
  <c r="AI283" i="1" s="1"/>
  <c r="A281" i="1"/>
  <c r="AF278" i="1"/>
  <c r="AG278" i="1" s="1"/>
  <c r="A280" i="1"/>
  <c r="AF277" i="1"/>
  <c r="AI277" i="1" s="1"/>
  <c r="A279" i="1"/>
  <c r="AF282" i="1"/>
  <c r="AH282" i="1" s="1"/>
  <c r="A278" i="1"/>
  <c r="AF279" i="1"/>
  <c r="AH279" i="1" s="1"/>
  <c r="A277" i="1"/>
  <c r="AF280" i="1"/>
  <c r="AG280" i="1" s="1"/>
  <c r="A276" i="1"/>
  <c r="AF273" i="1"/>
  <c r="AH273" i="1" s="1"/>
  <c r="A275" i="1"/>
  <c r="AF267" i="1"/>
  <c r="AH267" i="1" s="1"/>
  <c r="A274" i="1"/>
  <c r="AF269" i="1"/>
  <c r="A273" i="1"/>
  <c r="AF266" i="1"/>
  <c r="AI266" i="1" s="1"/>
  <c r="A272" i="1"/>
  <c r="AF272" i="1"/>
  <c r="AG272" i="1" s="1"/>
  <c r="A271" i="1"/>
  <c r="AF270" i="1"/>
  <c r="A270" i="1"/>
  <c r="AF274" i="1"/>
  <c r="AI274" i="1" s="1"/>
  <c r="A269" i="1"/>
  <c r="AF268" i="1"/>
  <c r="AH268" i="1" s="1"/>
  <c r="A268" i="1"/>
  <c r="AF275" i="1"/>
  <c r="AI275" i="1" s="1"/>
  <c r="A267" i="1"/>
  <c r="AF271" i="1"/>
  <c r="AH271" i="1" s="1"/>
  <c r="A266" i="1"/>
  <c r="AF264" i="1"/>
  <c r="AH264" i="1" s="1"/>
  <c r="A265" i="1"/>
  <c r="AF265" i="1"/>
  <c r="AI265" i="1" s="1"/>
  <c r="A264" i="1"/>
  <c r="AF263" i="1"/>
  <c r="AG263" i="1" s="1"/>
  <c r="A263" i="1"/>
  <c r="AF259" i="1"/>
  <c r="AI259" i="1" s="1"/>
  <c r="A262" i="1"/>
  <c r="AF257" i="1"/>
  <c r="AI257" i="1" s="1"/>
  <c r="A261" i="1"/>
  <c r="AF256" i="1"/>
  <c r="AG256" i="1" s="1"/>
  <c r="A260" i="1"/>
  <c r="AF262" i="1"/>
  <c r="AG262" i="1" s="1"/>
  <c r="A259" i="1"/>
  <c r="AF260" i="1"/>
  <c r="AI260" i="1" s="1"/>
  <c r="A258" i="1"/>
  <c r="AF258" i="1"/>
  <c r="AG258" i="1" s="1"/>
  <c r="A257" i="1"/>
  <c r="AF255" i="1"/>
  <c r="AI255" i="1" s="1"/>
  <c r="A256" i="1"/>
  <c r="AF254" i="1"/>
  <c r="AH254" i="1" s="1"/>
  <c r="A255" i="1"/>
  <c r="AF248" i="1"/>
  <c r="AH248" i="1" s="1"/>
  <c r="A254" i="1"/>
  <c r="AF249" i="1"/>
  <c r="AI249" i="1" s="1"/>
  <c r="A253" i="1"/>
  <c r="AF252" i="1"/>
  <c r="AI252" i="1" s="1"/>
  <c r="A252" i="1"/>
  <c r="AF250" i="1"/>
  <c r="AI250" i="1" s="1"/>
  <c r="A251" i="1"/>
  <c r="AF245" i="1"/>
  <c r="A250" i="1"/>
  <c r="AF251" i="1"/>
  <c r="AI251" i="1" s="1"/>
  <c r="A249" i="1"/>
  <c r="AF253" i="1"/>
  <c r="AG253" i="1" s="1"/>
  <c r="A248" i="1"/>
  <c r="AF247" i="1"/>
  <c r="A247" i="1"/>
  <c r="AF246" i="1"/>
  <c r="AI246" i="1" s="1"/>
  <c r="A246" i="1"/>
  <c r="AF238" i="1"/>
  <c r="AH238" i="1" s="1"/>
  <c r="A245" i="1"/>
  <c r="AF241" i="1"/>
  <c r="AH241" i="1" s="1"/>
  <c r="A244" i="1"/>
  <c r="AF243" i="1"/>
  <c r="AH243" i="1" s="1"/>
  <c r="A243" i="1"/>
  <c r="AF239" i="1"/>
  <c r="AH239" i="1" s="1"/>
  <c r="A242" i="1"/>
  <c r="AF236" i="1"/>
  <c r="AI236" i="1" s="1"/>
  <c r="A241" i="1"/>
  <c r="AF240" i="1"/>
  <c r="AG240" i="1" s="1"/>
  <c r="A240" i="1"/>
  <c r="AF242" i="1"/>
  <c r="AI242" i="1" s="1"/>
  <c r="A239" i="1"/>
  <c r="AF244" i="1"/>
  <c r="AI244" i="1" s="1"/>
  <c r="A238" i="1"/>
  <c r="AF237" i="1"/>
  <c r="AI237" i="1" s="1"/>
  <c r="A237" i="1"/>
  <c r="AF261" i="1"/>
  <c r="AH261" i="1" s="1"/>
  <c r="A236" i="1"/>
  <c r="AF235" i="1"/>
  <c r="AI235" i="1" s="1"/>
  <c r="A235" i="1"/>
  <c r="AF228" i="1"/>
  <c r="AI228" i="1" s="1"/>
  <c r="A234" i="1"/>
  <c r="AF233" i="1"/>
  <c r="AI233" i="1" s="1"/>
  <c r="A233" i="1"/>
  <c r="AF229" i="1"/>
  <c r="AI229" i="1" s="1"/>
  <c r="A232" i="1"/>
  <c r="AF226" i="1"/>
  <c r="AG226" i="1" s="1"/>
  <c r="A231" i="1"/>
  <c r="AI230" i="1"/>
  <c r="AH230" i="1"/>
  <c r="AG230" i="1"/>
  <c r="A230" i="1"/>
  <c r="AF231" i="1"/>
  <c r="AI231" i="1" s="1"/>
  <c r="A229" i="1"/>
  <c r="AF232" i="1"/>
  <c r="AI232" i="1" s="1"/>
  <c r="A228" i="1"/>
  <c r="AF227" i="1"/>
  <c r="AI227" i="1" s="1"/>
  <c r="A227" i="1"/>
  <c r="AF234" i="1"/>
  <c r="AG234" i="1" s="1"/>
  <c r="A226" i="1"/>
  <c r="AF219" i="1"/>
  <c r="A225" i="1"/>
  <c r="AF218" i="1"/>
  <c r="AI218" i="1" s="1"/>
  <c r="A224" i="1"/>
  <c r="AF220" i="1"/>
  <c r="AI220" i="1" s="1"/>
  <c r="A223" i="1"/>
  <c r="AF217" i="1"/>
  <c r="A222" i="1"/>
  <c r="AF223" i="1"/>
  <c r="AI223" i="1" s="1"/>
  <c r="A221" i="1"/>
  <c r="AF225" i="1"/>
  <c r="AH225" i="1" s="1"/>
  <c r="A220" i="1"/>
  <c r="AF222" i="1"/>
  <c r="AG222" i="1" s="1"/>
  <c r="A219" i="1"/>
  <c r="AF221" i="1"/>
  <c r="AH221" i="1" s="1"/>
  <c r="A218" i="1"/>
  <c r="AF224" i="1"/>
  <c r="AG224" i="1" s="1"/>
  <c r="A217" i="1"/>
  <c r="AF212" i="1"/>
  <c r="AI212" i="1" s="1"/>
  <c r="A216" i="1"/>
  <c r="AF215" i="1"/>
  <c r="AI215" i="1" s="1"/>
  <c r="A215" i="1"/>
  <c r="AF214" i="1"/>
  <c r="AG214" i="1" s="1"/>
  <c r="A214" i="1"/>
  <c r="AF213" i="1"/>
  <c r="A213" i="1"/>
  <c r="AF211" i="1"/>
  <c r="AI211" i="1" s="1"/>
  <c r="A212" i="1"/>
  <c r="AF210" i="1"/>
  <c r="AI210" i="1" s="1"/>
  <c r="A211" i="1"/>
  <c r="AF216" i="1"/>
  <c r="A210" i="1"/>
  <c r="AF209" i="1"/>
  <c r="A209" i="1"/>
  <c r="AF206" i="1"/>
  <c r="AH206" i="1" s="1"/>
  <c r="A208" i="1"/>
  <c r="AF205" i="1"/>
  <c r="AH205" i="1" s="1"/>
  <c r="A207" i="1"/>
  <c r="AF207" i="1"/>
  <c r="AI207" i="1" s="1"/>
  <c r="A206" i="1"/>
  <c r="AF203" i="1"/>
  <c r="A205" i="1"/>
  <c r="AF204" i="1"/>
  <c r="AI204" i="1" s="1"/>
  <c r="A204" i="1"/>
  <c r="AF202" i="1"/>
  <c r="AI202" i="1" s="1"/>
  <c r="A203" i="1"/>
  <c r="AF200" i="1"/>
  <c r="AG200" i="1" s="1"/>
  <c r="A202" i="1"/>
  <c r="AF201" i="1"/>
  <c r="A201" i="1"/>
  <c r="AF208" i="1"/>
  <c r="AI208" i="1" s="1"/>
  <c r="A200" i="1"/>
  <c r="AF195" i="1"/>
  <c r="AH195" i="1" s="1"/>
  <c r="A199" i="1"/>
  <c r="AF198" i="1"/>
  <c r="AI198" i="1" s="1"/>
  <c r="A198" i="1"/>
  <c r="AF191" i="1"/>
  <c r="A197" i="1"/>
  <c r="AF190" i="1"/>
  <c r="AH190" i="1" s="1"/>
  <c r="A196" i="1"/>
  <c r="AF192" i="1"/>
  <c r="AH192" i="1" s="1"/>
  <c r="A195" i="1"/>
  <c r="AF193" i="1"/>
  <c r="AH193" i="1" s="1"/>
  <c r="A194" i="1"/>
  <c r="AF196" i="1"/>
  <c r="AG196" i="1" s="1"/>
  <c r="A193" i="1"/>
  <c r="AF194" i="1"/>
  <c r="AI194" i="1" s="1"/>
  <c r="A192" i="1"/>
  <c r="AF197" i="1"/>
  <c r="AI197" i="1" s="1"/>
  <c r="A191" i="1"/>
  <c r="AF199" i="1"/>
  <c r="AG199" i="1" s="1"/>
  <c r="A190" i="1"/>
  <c r="AF189" i="1"/>
  <c r="AH189" i="1" s="1"/>
  <c r="A189" i="1"/>
  <c r="AF184" i="1"/>
  <c r="AI184" i="1" s="1"/>
  <c r="A188" i="1"/>
  <c r="AF183" i="1"/>
  <c r="AH183" i="1" s="1"/>
  <c r="A187" i="1"/>
  <c r="AF182" i="1"/>
  <c r="AI182" i="1" s="1"/>
  <c r="A186" i="1"/>
  <c r="AF187" i="1"/>
  <c r="A185" i="1"/>
  <c r="AF185" i="1"/>
  <c r="AH185" i="1" s="1"/>
  <c r="A184" i="1"/>
  <c r="AF180" i="1"/>
  <c r="AI180" i="1" s="1"/>
  <c r="A183" i="1"/>
  <c r="AF181" i="1"/>
  <c r="AI181" i="1" s="1"/>
  <c r="A182" i="1"/>
  <c r="AF186" i="1"/>
  <c r="A181" i="1"/>
  <c r="AF188" i="1"/>
  <c r="AI188" i="1" s="1"/>
  <c r="A180" i="1"/>
  <c r="AF172" i="1"/>
  <c r="AI172" i="1" s="1"/>
  <c r="A179" i="1"/>
  <c r="AF174" i="1"/>
  <c r="AG174" i="1" s="1"/>
  <c r="A178" i="1"/>
  <c r="AF171" i="1"/>
  <c r="AG171" i="1" s="1"/>
  <c r="A177" i="1"/>
  <c r="AF178" i="1"/>
  <c r="AI178" i="1" s="1"/>
  <c r="A176" i="1"/>
  <c r="AF176" i="1"/>
  <c r="AI176" i="1" s="1"/>
  <c r="A175" i="1"/>
  <c r="AF170" i="1"/>
  <c r="AI170" i="1" s="1"/>
  <c r="A174" i="1"/>
  <c r="AF173" i="1"/>
  <c r="AI173" i="1" s="1"/>
  <c r="A173" i="1"/>
  <c r="AF175" i="1"/>
  <c r="AH175" i="1" s="1"/>
  <c r="A172" i="1"/>
  <c r="AF179" i="1"/>
  <c r="AH179" i="1" s="1"/>
  <c r="A171" i="1"/>
  <c r="AF177" i="1"/>
  <c r="AI177" i="1" s="1"/>
  <c r="A170" i="1"/>
  <c r="AF167" i="1"/>
  <c r="AG167" i="1" s="1"/>
  <c r="A169" i="1"/>
  <c r="AF161" i="1"/>
  <c r="A168" i="1"/>
  <c r="AF168" i="1"/>
  <c r="AI168" i="1" s="1"/>
  <c r="A167" i="1"/>
  <c r="AF162" i="1"/>
  <c r="AG162" i="1" s="1"/>
  <c r="A166" i="1"/>
  <c r="AF163" i="1"/>
  <c r="AG163" i="1" s="1"/>
  <c r="A165" i="1"/>
  <c r="AF164" i="1"/>
  <c r="AI164" i="1" s="1"/>
  <c r="A164" i="1"/>
  <c r="AF165" i="1"/>
  <c r="AI165" i="1" s="1"/>
  <c r="A163" i="1"/>
  <c r="AF169" i="1"/>
  <c r="A162" i="1"/>
  <c r="AF166" i="1"/>
  <c r="AI166" i="1" s="1"/>
  <c r="A161" i="1"/>
  <c r="AF160" i="1"/>
  <c r="AH160" i="1" s="1"/>
  <c r="A160" i="1"/>
  <c r="AF157" i="1"/>
  <c r="AI157" i="1" s="1"/>
  <c r="A159" i="1"/>
  <c r="AF159" i="1"/>
  <c r="AH159" i="1" s="1"/>
  <c r="A158" i="1"/>
  <c r="AF156" i="1"/>
  <c r="AG156" i="1" s="1"/>
  <c r="A157" i="1"/>
  <c r="AF158" i="1"/>
  <c r="AG158" i="1" s="1"/>
  <c r="A156" i="1"/>
  <c r="AF155" i="1"/>
  <c r="AI155" i="1" s="1"/>
  <c r="A155" i="1"/>
  <c r="AF154" i="1"/>
  <c r="AG154" i="1" s="1"/>
  <c r="A154" i="1"/>
  <c r="AF153" i="1"/>
  <c r="AG153" i="1" s="1"/>
  <c r="A153" i="1"/>
  <c r="AF150" i="1"/>
  <c r="AI150" i="1" s="1"/>
  <c r="A152" i="1"/>
  <c r="AF152" i="1"/>
  <c r="AI152" i="1" s="1"/>
  <c r="A151" i="1"/>
  <c r="AF149" i="1"/>
  <c r="A150" i="1"/>
  <c r="AF151" i="1"/>
  <c r="A149" i="1"/>
  <c r="AF145" i="1"/>
  <c r="AH145" i="1" s="1"/>
  <c r="A148" i="1"/>
  <c r="AF143" i="1"/>
  <c r="AH143" i="1" s="1"/>
  <c r="A147" i="1"/>
  <c r="AF142" i="1"/>
  <c r="AH142" i="1" s="1"/>
  <c r="A146" i="1"/>
  <c r="AF146" i="1"/>
  <c r="A145" i="1"/>
  <c r="AF144" i="1"/>
  <c r="AG144" i="1" s="1"/>
  <c r="A144" i="1"/>
  <c r="AF147" i="1"/>
  <c r="AI147" i="1" s="1"/>
  <c r="A143" i="1"/>
  <c r="AF141" i="1"/>
  <c r="AG141" i="1" s="1"/>
  <c r="A142" i="1"/>
  <c r="AF148" i="1"/>
  <c r="AG148" i="1" s="1"/>
  <c r="A141" i="1"/>
  <c r="AF138" i="1"/>
  <c r="AI138" i="1" s="1"/>
  <c r="A140" i="1"/>
  <c r="AF140" i="1"/>
  <c r="AI140" i="1" s="1"/>
  <c r="A139" i="1"/>
  <c r="AF139" i="1"/>
  <c r="AI139" i="1" s="1"/>
  <c r="A138" i="1"/>
  <c r="AF137" i="1"/>
  <c r="A137" i="1"/>
  <c r="AF132" i="1"/>
  <c r="AH132" i="1" s="1"/>
  <c r="A136" i="1"/>
  <c r="AF134" i="1"/>
  <c r="AH134" i="1" s="1"/>
  <c r="A135" i="1"/>
  <c r="AF133" i="1"/>
  <c r="AI133" i="1" s="1"/>
  <c r="A134" i="1"/>
  <c r="AF135" i="1"/>
  <c r="A133" i="1"/>
  <c r="AF131" i="1"/>
  <c r="A132" i="1"/>
  <c r="AF136" i="1"/>
  <c r="AI136" i="1" s="1"/>
  <c r="A131" i="1"/>
  <c r="AF128" i="1"/>
  <c r="AG128" i="1" s="1"/>
  <c r="A130" i="1"/>
  <c r="AF124" i="1"/>
  <c r="AG124" i="1" s="1"/>
  <c r="A129" i="1"/>
  <c r="AF123" i="1"/>
  <c r="AI123" i="1" s="1"/>
  <c r="A128" i="1"/>
  <c r="AI130" i="1"/>
  <c r="AH130" i="1"/>
  <c r="AG130" i="1"/>
  <c r="A127" i="1"/>
  <c r="AF127" i="1"/>
  <c r="AI127" i="1" s="1"/>
  <c r="A126" i="1"/>
  <c r="AF125" i="1"/>
  <c r="AG125" i="1" s="1"/>
  <c r="A125" i="1"/>
  <c r="AF126" i="1"/>
  <c r="AG126" i="1" s="1"/>
  <c r="A124" i="1"/>
  <c r="AF129" i="1"/>
  <c r="AI129" i="1" s="1"/>
  <c r="A123" i="1"/>
  <c r="AF122" i="1"/>
  <c r="AI122" i="1" s="1"/>
  <c r="A122" i="1"/>
  <c r="AF116" i="1"/>
  <c r="A121" i="1"/>
  <c r="AF115" i="1"/>
  <c r="A120" i="1"/>
  <c r="AF112" i="1"/>
  <c r="AH112" i="1" s="1"/>
  <c r="A119" i="1"/>
  <c r="AF119" i="1"/>
  <c r="AI119" i="1" s="1"/>
  <c r="A118" i="1"/>
  <c r="AF118" i="1"/>
  <c r="AI118" i="1" s="1"/>
  <c r="A117" i="1"/>
  <c r="AF120" i="1"/>
  <c r="AG120" i="1" s="1"/>
  <c r="A116" i="1"/>
  <c r="AF117" i="1"/>
  <c r="A115" i="1"/>
  <c r="AF114" i="1"/>
  <c r="AI114" i="1" s="1"/>
  <c r="A114" i="1"/>
  <c r="AF113" i="1"/>
  <c r="AG113" i="1" s="1"/>
  <c r="A113" i="1"/>
  <c r="AF121" i="1"/>
  <c r="AG121" i="1" s="1"/>
  <c r="A112" i="1"/>
  <c r="AF110" i="1"/>
  <c r="AH110" i="1" s="1"/>
  <c r="A111" i="1"/>
  <c r="AF105" i="1"/>
  <c r="AI105" i="1" s="1"/>
  <c r="A110" i="1"/>
  <c r="AF107" i="1"/>
  <c r="AH107" i="1" s="1"/>
  <c r="A109" i="1"/>
  <c r="AF108" i="1"/>
  <c r="AI108" i="1" s="1"/>
  <c r="A108" i="1"/>
  <c r="AF102" i="1"/>
  <c r="AH102" i="1" s="1"/>
  <c r="A107" i="1"/>
  <c r="AF106" i="1"/>
  <c r="AH106" i="1" s="1"/>
  <c r="A106" i="1"/>
  <c r="AF103" i="1"/>
  <c r="AI103" i="1" s="1"/>
  <c r="A105" i="1"/>
  <c r="AF109" i="1"/>
  <c r="AI109" i="1" s="1"/>
  <c r="A104" i="1"/>
  <c r="AF104" i="1"/>
  <c r="AG104" i="1" s="1"/>
  <c r="A103" i="1"/>
  <c r="AF111" i="1"/>
  <c r="AI111" i="1" s="1"/>
  <c r="A102" i="1"/>
  <c r="AF92" i="1"/>
  <c r="AG92" i="1" s="1"/>
  <c r="A101" i="1"/>
  <c r="AF90" i="1"/>
  <c r="AG90" i="1" s="1"/>
  <c r="A100" i="1"/>
  <c r="AF86" i="1"/>
  <c r="AG86" i="1" s="1"/>
  <c r="A99" i="1"/>
  <c r="AF89" i="1"/>
  <c r="AI89" i="1" s="1"/>
  <c r="A98" i="1"/>
  <c r="AI83" i="1"/>
  <c r="AH83" i="1"/>
  <c r="AG83" i="1"/>
  <c r="A97" i="1"/>
  <c r="AF84" i="1"/>
  <c r="AG84" i="1" s="1"/>
  <c r="A96" i="1"/>
  <c r="AF85" i="1"/>
  <c r="AG85" i="1" s="1"/>
  <c r="A95" i="1"/>
  <c r="AF87" i="1"/>
  <c r="AH87" i="1" s="1"/>
  <c r="A94" i="1"/>
  <c r="AF88" i="1"/>
  <c r="AI88" i="1" s="1"/>
  <c r="A93" i="1"/>
  <c r="AF91" i="1"/>
  <c r="AH91" i="1" s="1"/>
  <c r="A92" i="1"/>
  <c r="AF78" i="1"/>
  <c r="AI78" i="1" s="1"/>
  <c r="A91" i="1"/>
  <c r="AF77" i="1"/>
  <c r="AH77" i="1" s="1"/>
  <c r="A90" i="1"/>
  <c r="AF74" i="1"/>
  <c r="AI74" i="1" s="1"/>
  <c r="A89" i="1"/>
  <c r="AF73" i="1"/>
  <c r="AI73" i="1" s="1"/>
  <c r="A88" i="1"/>
  <c r="AI76" i="1"/>
  <c r="AH76" i="1"/>
  <c r="AG76" i="1"/>
  <c r="A87" i="1"/>
  <c r="AF79" i="1"/>
  <c r="A86" i="1"/>
  <c r="AF80" i="1"/>
  <c r="AH80" i="1" s="1"/>
  <c r="A85" i="1"/>
  <c r="AF75" i="1"/>
  <c r="AI75" i="1" s="1"/>
  <c r="A84" i="1"/>
  <c r="AF81" i="1"/>
  <c r="AG81" i="1" s="1"/>
  <c r="A83" i="1"/>
  <c r="AF82" i="1"/>
  <c r="AH82" i="1" s="1"/>
  <c r="A82" i="1"/>
  <c r="AF98" i="1"/>
  <c r="AG98" i="1" s="1"/>
  <c r="A81" i="1"/>
  <c r="AF96" i="1"/>
  <c r="AI96" i="1" s="1"/>
  <c r="A80" i="1"/>
  <c r="AF99" i="1"/>
  <c r="AG99" i="1" s="1"/>
  <c r="A79" i="1"/>
  <c r="AF94" i="1"/>
  <c r="AG94" i="1" s="1"/>
  <c r="A78" i="1"/>
  <c r="AF101" i="1"/>
  <c r="AH101" i="1" s="1"/>
  <c r="A77" i="1"/>
  <c r="AF95" i="1"/>
  <c r="AI95" i="1" s="1"/>
  <c r="A76" i="1"/>
  <c r="AF97" i="1"/>
  <c r="AH97" i="1" s="1"/>
  <c r="A75" i="1"/>
  <c r="AF93" i="1"/>
  <c r="AI93" i="1" s="1"/>
  <c r="A74" i="1"/>
  <c r="AF100" i="1"/>
  <c r="AH100" i="1" s="1"/>
  <c r="A73" i="1"/>
  <c r="AF72" i="1"/>
  <c r="AG72" i="1" s="1"/>
  <c r="A72" i="1"/>
  <c r="AF71" i="1"/>
  <c r="AH71" i="1" s="1"/>
  <c r="A71" i="1"/>
  <c r="AF69" i="1"/>
  <c r="AH69" i="1" s="1"/>
  <c r="A70" i="1"/>
  <c r="AF70" i="1"/>
  <c r="AG70" i="1" s="1"/>
  <c r="A69" i="1"/>
  <c r="AF67" i="1"/>
  <c r="AI67" i="1" s="1"/>
  <c r="A68" i="1"/>
  <c r="AF62" i="1"/>
  <c r="AG62" i="1" s="1"/>
  <c r="A67" i="1"/>
  <c r="AF66" i="1"/>
  <c r="AG66" i="1" s="1"/>
  <c r="A66" i="1"/>
  <c r="AF65" i="1"/>
  <c r="AI65" i="1" s="1"/>
  <c r="A65" i="1"/>
  <c r="AF64" i="1"/>
  <c r="AI64" i="1" s="1"/>
  <c r="A64" i="1"/>
  <c r="AF63" i="1"/>
  <c r="AH63" i="1" s="1"/>
  <c r="A63" i="1"/>
  <c r="AF60" i="1"/>
  <c r="A62" i="1"/>
  <c r="AF61" i="1"/>
  <c r="AH61" i="1" s="1"/>
  <c r="A61" i="1"/>
  <c r="AF57" i="1"/>
  <c r="AI57" i="1" s="1"/>
  <c r="A60" i="1"/>
  <c r="AF58" i="1"/>
  <c r="AI58" i="1" s="1"/>
  <c r="A59" i="1"/>
  <c r="AF59" i="1"/>
  <c r="AI59" i="1" s="1"/>
  <c r="A58" i="1"/>
  <c r="AF56" i="1"/>
  <c r="A57" i="1"/>
  <c r="AF52" i="1"/>
  <c r="AI52" i="1" s="1"/>
  <c r="A56" i="1"/>
  <c r="AF53" i="1"/>
  <c r="AG53" i="1" s="1"/>
  <c r="A55" i="1"/>
  <c r="AF68" i="1"/>
  <c r="AG68" i="1" s="1"/>
  <c r="A54" i="1"/>
  <c r="AF55" i="1"/>
  <c r="AG55" i="1" s="1"/>
  <c r="A53" i="1"/>
  <c r="AF54" i="1"/>
  <c r="AI54" i="1" s="1"/>
  <c r="A52" i="1"/>
  <c r="AF44" i="1"/>
  <c r="AI44" i="1" s="1"/>
  <c r="A51" i="1"/>
  <c r="AF49" i="1"/>
  <c r="A50" i="1"/>
  <c r="AI50" i="1"/>
  <c r="AH50" i="1"/>
  <c r="AG50" i="1"/>
  <c r="A49" i="1"/>
  <c r="AF48" i="1"/>
  <c r="AI48" i="1" s="1"/>
  <c r="A48" i="1"/>
  <c r="AF51" i="1"/>
  <c r="AI51" i="1" s="1"/>
  <c r="A47" i="1"/>
  <c r="AF47" i="1"/>
  <c r="AI47" i="1" s="1"/>
  <c r="A46" i="1"/>
  <c r="AF46" i="1"/>
  <c r="A45" i="1"/>
  <c r="AF45" i="1"/>
  <c r="AH45" i="1" s="1"/>
  <c r="A44" i="1"/>
  <c r="AF43" i="1"/>
  <c r="AH43" i="1" s="1"/>
  <c r="A43" i="1"/>
  <c r="AF42" i="1"/>
  <c r="AI42" i="1" s="1"/>
  <c r="A42" i="1"/>
  <c r="AF38" i="1"/>
  <c r="AI38" i="1" s="1"/>
  <c r="A41" i="1"/>
  <c r="AF39" i="1"/>
  <c r="A40" i="1"/>
  <c r="AF41" i="1"/>
  <c r="AI41" i="1" s="1"/>
  <c r="A39" i="1"/>
  <c r="AF40" i="1"/>
  <c r="AG40" i="1" s="1"/>
  <c r="A38" i="1"/>
  <c r="AF30" i="1"/>
  <c r="AG30" i="1" s="1"/>
  <c r="A37" i="1"/>
  <c r="AF37" i="1"/>
  <c r="AI37" i="1" s="1"/>
  <c r="A36" i="1"/>
  <c r="AF36" i="1"/>
  <c r="AI36" i="1" s="1"/>
  <c r="A35" i="1"/>
  <c r="AI28" i="1"/>
  <c r="AH28" i="1"/>
  <c r="AG28" i="1"/>
  <c r="A34" i="1"/>
  <c r="AF34" i="1"/>
  <c r="AG34" i="1" s="1"/>
  <c r="A33" i="1"/>
  <c r="AF33" i="1"/>
  <c r="AG33" i="1" s="1"/>
  <c r="A32" i="1"/>
  <c r="AF32" i="1"/>
  <c r="AI32" i="1" s="1"/>
  <c r="A31" i="1"/>
  <c r="AF31" i="1"/>
  <c r="AG31" i="1" s="1"/>
  <c r="A30" i="1"/>
  <c r="AF35" i="1"/>
  <c r="AI35" i="1" s="1"/>
  <c r="A29" i="1"/>
  <c r="AF29" i="1"/>
  <c r="AH29" i="1" s="1"/>
  <c r="A28" i="1"/>
  <c r="AF22" i="1"/>
  <c r="AH22" i="1" s="1"/>
  <c r="A27" i="1"/>
  <c r="AF18" i="1"/>
  <c r="AI18" i="1" s="1"/>
  <c r="A26" i="1"/>
  <c r="AI26" i="1"/>
  <c r="AH26" i="1"/>
  <c r="AG26" i="1"/>
  <c r="A25" i="1"/>
  <c r="AF25" i="1"/>
  <c r="AI25" i="1" s="1"/>
  <c r="A24" i="1"/>
  <c r="AF21" i="1"/>
  <c r="AH21" i="1" s="1"/>
  <c r="A23" i="1"/>
  <c r="AF23" i="1"/>
  <c r="AH23" i="1" s="1"/>
  <c r="A22" i="1"/>
  <c r="AF20" i="1"/>
  <c r="AH20" i="1" s="1"/>
  <c r="A21" i="1"/>
  <c r="AF19" i="1"/>
  <c r="AI19" i="1" s="1"/>
  <c r="A20" i="1"/>
  <c r="AF27" i="1"/>
  <c r="AI27" i="1" s="1"/>
  <c r="A19" i="1"/>
  <c r="AF24" i="1"/>
  <c r="AI24" i="1" s="1"/>
  <c r="A18" i="1"/>
  <c r="AF9" i="1"/>
  <c r="AI9" i="1" s="1"/>
  <c r="A17" i="1"/>
  <c r="AF16" i="1"/>
  <c r="AG16" i="1" s="1"/>
  <c r="A16" i="1"/>
  <c r="AF15" i="1"/>
  <c r="AG15" i="1" s="1"/>
  <c r="A15" i="1"/>
  <c r="AF10" i="1"/>
  <c r="AH10" i="1" s="1"/>
  <c r="A14" i="1"/>
  <c r="AF14" i="1"/>
  <c r="AI14" i="1" s="1"/>
  <c r="A13" i="1"/>
  <c r="AF12" i="1"/>
  <c r="AI12" i="1" s="1"/>
  <c r="A12" i="1"/>
  <c r="AF17" i="1"/>
  <c r="AH17" i="1" s="1"/>
  <c r="A11" i="1"/>
  <c r="AF13" i="1"/>
  <c r="AH13" i="1" s="1"/>
  <c r="A10" i="1"/>
  <c r="AF11" i="1"/>
  <c r="AI11" i="1" s="1"/>
  <c r="A9" i="1"/>
  <c r="AF6" i="1"/>
  <c r="AH6" i="1" s="1"/>
  <c r="A8" i="1"/>
  <c r="AF5" i="1"/>
  <c r="AH5" i="1" s="1"/>
  <c r="A7" i="1"/>
  <c r="AF8" i="1"/>
  <c r="AI8" i="1" s="1"/>
  <c r="A6" i="1"/>
  <c r="AF7" i="1"/>
  <c r="AI7" i="1" s="1"/>
  <c r="A5" i="1"/>
  <c r="AF4" i="1"/>
  <c r="AG4" i="1" s="1"/>
  <c r="A4" i="1"/>
  <c r="AI10" i="1" l="1"/>
  <c r="AI411" i="1"/>
  <c r="AG288" i="1"/>
  <c r="AH249" i="1"/>
  <c r="AI324" i="1"/>
  <c r="AH215" i="1"/>
  <c r="AH114" i="1"/>
  <c r="AG415" i="1"/>
  <c r="AH533" i="1"/>
  <c r="AI519" i="1"/>
  <c r="AI467" i="1"/>
  <c r="AH545" i="1"/>
  <c r="AI179" i="1"/>
  <c r="AG123" i="1"/>
  <c r="AH295" i="1"/>
  <c r="AG10" i="1"/>
  <c r="AH197" i="1"/>
  <c r="AI492" i="1"/>
  <c r="AG218" i="1"/>
  <c r="AH252" i="1"/>
  <c r="AH573" i="1"/>
  <c r="AG57" i="1"/>
  <c r="AI81" i="1"/>
  <c r="AH222" i="1"/>
  <c r="AI290" i="1"/>
  <c r="AH253" i="1"/>
  <c r="AG249" i="1"/>
  <c r="AI368" i="1"/>
  <c r="AG482" i="1"/>
  <c r="AI126" i="1"/>
  <c r="AG204" i="1"/>
  <c r="AI280" i="1"/>
  <c r="AI503" i="1"/>
  <c r="AH157" i="1"/>
  <c r="AG178" i="1"/>
  <c r="AH413" i="1"/>
  <c r="AI447" i="1"/>
  <c r="AI567" i="1"/>
  <c r="AI304" i="1"/>
  <c r="AG363" i="1"/>
  <c r="AH42" i="1"/>
  <c r="AH363" i="1"/>
  <c r="AI53" i="1"/>
  <c r="AI82" i="1"/>
  <c r="AH199" i="1"/>
  <c r="AH286" i="1"/>
  <c r="AG358" i="1"/>
  <c r="AH420" i="1"/>
  <c r="AG517" i="1"/>
  <c r="AI573" i="1"/>
  <c r="AI358" i="1"/>
  <c r="AH138" i="1"/>
  <c r="AG518" i="1"/>
  <c r="AI530" i="1"/>
  <c r="AI518" i="1"/>
  <c r="AH11" i="1"/>
  <c r="AG67" i="1"/>
  <c r="AH99" i="1"/>
  <c r="AG87" i="1"/>
  <c r="AH127" i="1"/>
  <c r="AH128" i="1"/>
  <c r="AI222" i="1"/>
  <c r="AI288" i="1"/>
  <c r="AI373" i="1"/>
  <c r="AI415" i="1"/>
  <c r="AH444" i="1"/>
  <c r="AG453" i="1"/>
  <c r="AI99" i="1"/>
  <c r="AI128" i="1"/>
  <c r="AG311" i="1"/>
  <c r="AH398" i="1"/>
  <c r="AH48" i="1"/>
  <c r="AI273" i="1"/>
  <c r="AH311" i="1"/>
  <c r="AH375" i="1"/>
  <c r="AH395" i="1"/>
  <c r="AI398" i="1"/>
  <c r="AG428" i="1"/>
  <c r="AI85" i="1"/>
  <c r="AG118" i="1"/>
  <c r="AG160" i="1"/>
  <c r="AI375" i="1"/>
  <c r="AG410" i="1"/>
  <c r="AG474" i="1"/>
  <c r="AI556" i="1"/>
  <c r="AI92" i="1"/>
  <c r="AG175" i="1"/>
  <c r="AH280" i="1"/>
  <c r="AG295" i="1"/>
  <c r="AG411" i="1"/>
  <c r="AG492" i="1"/>
  <c r="AG495" i="1"/>
  <c r="AG69" i="1"/>
  <c r="AG488" i="1"/>
  <c r="AH89" i="1"/>
  <c r="AG119" i="1"/>
  <c r="AH129" i="1"/>
  <c r="AH174" i="1"/>
  <c r="AH200" i="1"/>
  <c r="AI205" i="1"/>
  <c r="AG211" i="1"/>
  <c r="AH263" i="1"/>
  <c r="AG267" i="1"/>
  <c r="AH314" i="1"/>
  <c r="AI340" i="1"/>
  <c r="AH346" i="1"/>
  <c r="AG502" i="1"/>
  <c r="AH32" i="1"/>
  <c r="AG61" i="1"/>
  <c r="AH66" i="1"/>
  <c r="AH85" i="1"/>
  <c r="AH119" i="1"/>
  <c r="AH141" i="1"/>
  <c r="AI174" i="1"/>
  <c r="AH211" i="1"/>
  <c r="AI263" i="1"/>
  <c r="AI267" i="1"/>
  <c r="AI346" i="1"/>
  <c r="AG212" i="1"/>
  <c r="AI61" i="1"/>
  <c r="AH300" i="1"/>
  <c r="AI366" i="1"/>
  <c r="AG360" i="1"/>
  <c r="AI439" i="1"/>
  <c r="AH561" i="1"/>
  <c r="AH54" i="1"/>
  <c r="AH126" i="1"/>
  <c r="AI145" i="1"/>
  <c r="AG177" i="1"/>
  <c r="AG185" i="1"/>
  <c r="AI193" i="1"/>
  <c r="AG206" i="1"/>
  <c r="AI309" i="1"/>
  <c r="AG322" i="1"/>
  <c r="AI334" i="1"/>
  <c r="AI360" i="1"/>
  <c r="AH364" i="1"/>
  <c r="AG369" i="1"/>
  <c r="AH177" i="1"/>
  <c r="AH310" i="1"/>
  <c r="AH322" i="1"/>
  <c r="AI364" i="1"/>
  <c r="AH369" i="1"/>
  <c r="AH455" i="1"/>
  <c r="AI490" i="1"/>
  <c r="AH494" i="1"/>
  <c r="AG503" i="1"/>
  <c r="AH34" i="1"/>
  <c r="AG59" i="1"/>
  <c r="AH94" i="1"/>
  <c r="AI91" i="1"/>
  <c r="AI84" i="1"/>
  <c r="AH291" i="1"/>
  <c r="AG304" i="1"/>
  <c r="AI310" i="1"/>
  <c r="AG301" i="1"/>
  <c r="AH352" i="1"/>
  <c r="AG406" i="1"/>
  <c r="AG420" i="1"/>
  <c r="AI464" i="1"/>
  <c r="AI494" i="1"/>
  <c r="AH103" i="1"/>
  <c r="AI160" i="1"/>
  <c r="AG188" i="1"/>
  <c r="AG192" i="1"/>
  <c r="AI301" i="1"/>
  <c r="AI345" i="1"/>
  <c r="AI406" i="1"/>
  <c r="AI538" i="1"/>
  <c r="AI132" i="1"/>
  <c r="AG449" i="1"/>
  <c r="AH35" i="1"/>
  <c r="AI45" i="1"/>
  <c r="AH81" i="1"/>
  <c r="AH92" i="1"/>
  <c r="AI110" i="1"/>
  <c r="AI192" i="1"/>
  <c r="AG237" i="1"/>
  <c r="AI474" i="1"/>
  <c r="AI484" i="1"/>
  <c r="AI517" i="1"/>
  <c r="AI552" i="1"/>
  <c r="AH324" i="1"/>
  <c r="AH321" i="1"/>
  <c r="AI327" i="1"/>
  <c r="AG437" i="1"/>
  <c r="AG112" i="1"/>
  <c r="AH318" i="1"/>
  <c r="AG331" i="1"/>
  <c r="AH374" i="1"/>
  <c r="AG332" i="1"/>
  <c r="AI320" i="1"/>
  <c r="AG387" i="1"/>
  <c r="AH445" i="1"/>
  <c r="AH469" i="1"/>
  <c r="AH500" i="1"/>
  <c r="AG515" i="1"/>
  <c r="AH525" i="1"/>
  <c r="AH33" i="1"/>
  <c r="AH15" i="1"/>
  <c r="AH19" i="1"/>
  <c r="AG47" i="1"/>
  <c r="AI63" i="1"/>
  <c r="AG71" i="1"/>
  <c r="AG73" i="1"/>
  <c r="AI112" i="1"/>
  <c r="AG142" i="1"/>
  <c r="AH155" i="1"/>
  <c r="AG181" i="1"/>
  <c r="AG235" i="1"/>
  <c r="AH242" i="1"/>
  <c r="AH258" i="1"/>
  <c r="AG257" i="1"/>
  <c r="AG268" i="1"/>
  <c r="AH283" i="1"/>
  <c r="AG296" i="1"/>
  <c r="AG302" i="1"/>
  <c r="AI374" i="1"/>
  <c r="AI339" i="1"/>
  <c r="AH370" i="1"/>
  <c r="AH379" i="1"/>
  <c r="AH394" i="1"/>
  <c r="AI414" i="1"/>
  <c r="AG432" i="1"/>
  <c r="AG458" i="1"/>
  <c r="AG461" i="1"/>
  <c r="AI498" i="1"/>
  <c r="AI527" i="1"/>
  <c r="AG532" i="1"/>
  <c r="AI549" i="1"/>
  <c r="AI15" i="1"/>
  <c r="AI71" i="1"/>
  <c r="AH73" i="1"/>
  <c r="AI86" i="1"/>
  <c r="AI121" i="1"/>
  <c r="AI142" i="1"/>
  <c r="AH181" i="1"/>
  <c r="AI258" i="1"/>
  <c r="AG340" i="1"/>
  <c r="AI379" i="1"/>
  <c r="AI432" i="1"/>
  <c r="AH461" i="1"/>
  <c r="AI532" i="1"/>
  <c r="AI513" i="1"/>
  <c r="AH556" i="1"/>
  <c r="AH8" i="1"/>
  <c r="AG38" i="1"/>
  <c r="AH58" i="1"/>
  <c r="AH57" i="1"/>
  <c r="AH118" i="1"/>
  <c r="AH162" i="1"/>
  <c r="AG221" i="1"/>
  <c r="AH227" i="1"/>
  <c r="AG261" i="1"/>
  <c r="AH240" i="1"/>
  <c r="AI238" i="1"/>
  <c r="AG259" i="1"/>
  <c r="AH276" i="1"/>
  <c r="AH111" i="1"/>
  <c r="AH40" i="1"/>
  <c r="AG51" i="1"/>
  <c r="AG64" i="1"/>
  <c r="AG18" i="1"/>
  <c r="AH31" i="1"/>
  <c r="AG74" i="1"/>
  <c r="AH90" i="1"/>
  <c r="AI107" i="1"/>
  <c r="AH113" i="1"/>
  <c r="AH147" i="1"/>
  <c r="AG143" i="1"/>
  <c r="AI162" i="1"/>
  <c r="AG194" i="1"/>
  <c r="AH214" i="1"/>
  <c r="AI221" i="1"/>
  <c r="AH229" i="1"/>
  <c r="AI261" i="1"/>
  <c r="AI240" i="1"/>
  <c r="AG282" i="1"/>
  <c r="AH299" i="1"/>
  <c r="AH351" i="1"/>
  <c r="AH356" i="1"/>
  <c r="AH14" i="1"/>
  <c r="AI40" i="1"/>
  <c r="AH72" i="1"/>
  <c r="AI23" i="1"/>
  <c r="AH18" i="1"/>
  <c r="AI31" i="1"/>
  <c r="AG54" i="1"/>
  <c r="AI72" i="1"/>
  <c r="AH74" i="1"/>
  <c r="AH133" i="1"/>
  <c r="AG140" i="1"/>
  <c r="AI143" i="1"/>
  <c r="AG179" i="1"/>
  <c r="AH176" i="1"/>
  <c r="AG180" i="1"/>
  <c r="AI190" i="1"/>
  <c r="AH220" i="1"/>
  <c r="AG250" i="1"/>
  <c r="AG289" i="1"/>
  <c r="AH306" i="1"/>
  <c r="AG335" i="1"/>
  <c r="AI351" i="1"/>
  <c r="AG380" i="1"/>
  <c r="AH388" i="1"/>
  <c r="AH441" i="1"/>
  <c r="AH485" i="1"/>
  <c r="AI535" i="1"/>
  <c r="AG547" i="1"/>
  <c r="AH543" i="1"/>
  <c r="AH568" i="1"/>
  <c r="AH569" i="1"/>
  <c r="AG207" i="1"/>
  <c r="AH250" i="1"/>
  <c r="AH262" i="1"/>
  <c r="AI271" i="1"/>
  <c r="AG273" i="1"/>
  <c r="AI281" i="1"/>
  <c r="AH289" i="1"/>
  <c r="AG317" i="1"/>
  <c r="AI335" i="1"/>
  <c r="AH380" i="1"/>
  <c r="AI382" i="1"/>
  <c r="AH402" i="1"/>
  <c r="AG417" i="1"/>
  <c r="AH435" i="1"/>
  <c r="AG452" i="1"/>
  <c r="AG484" i="1"/>
  <c r="AH486" i="1"/>
  <c r="AH520" i="1"/>
  <c r="AH547" i="1"/>
  <c r="AI568" i="1"/>
  <c r="AH417" i="1"/>
  <c r="AI435" i="1"/>
  <c r="AI13" i="1"/>
  <c r="AI66" i="1"/>
  <c r="AI69" i="1"/>
  <c r="AG89" i="1"/>
  <c r="AG110" i="1"/>
  <c r="AG129" i="1"/>
  <c r="AH154" i="1"/>
  <c r="AG193" i="1"/>
  <c r="AG205" i="1"/>
  <c r="AG228" i="1"/>
  <c r="AH256" i="1"/>
  <c r="AG275" i="1"/>
  <c r="AH266" i="1"/>
  <c r="AI278" i="1"/>
  <c r="AG287" i="1"/>
  <c r="AG327" i="1"/>
  <c r="AH334" i="1"/>
  <c r="AH373" i="1"/>
  <c r="AG384" i="1"/>
  <c r="AI424" i="1"/>
  <c r="AG464" i="1"/>
  <c r="AH483" i="1"/>
  <c r="AI511" i="1"/>
  <c r="AI563" i="1"/>
  <c r="AG6" i="1"/>
  <c r="AG24" i="1"/>
  <c r="AG20" i="1"/>
  <c r="AG36" i="1"/>
  <c r="AG43" i="1"/>
  <c r="AH47" i="1"/>
  <c r="AH62" i="1"/>
  <c r="AG101" i="1"/>
  <c r="AH96" i="1"/>
  <c r="AI87" i="1"/>
  <c r="AI90" i="1"/>
  <c r="AG106" i="1"/>
  <c r="AI113" i="1"/>
  <c r="AH136" i="1"/>
  <c r="AG134" i="1"/>
  <c r="AI141" i="1"/>
  <c r="AI154" i="1"/>
  <c r="AG159" i="1"/>
  <c r="AH163" i="1"/>
  <c r="AH172" i="1"/>
  <c r="AI199" i="1"/>
  <c r="AI206" i="1"/>
  <c r="AH226" i="1"/>
  <c r="AG241" i="1"/>
  <c r="AH260" i="1"/>
  <c r="AI285" i="1"/>
  <c r="AG298" i="1"/>
  <c r="AI331" i="1"/>
  <c r="AI317" i="1"/>
  <c r="AG362" i="1"/>
  <c r="AH386" i="1"/>
  <c r="AG403" i="1"/>
  <c r="AG421" i="1"/>
  <c r="AI452" i="1"/>
  <c r="AG451" i="1"/>
  <c r="AH457" i="1"/>
  <c r="AG456" i="1"/>
  <c r="AI473" i="1"/>
  <c r="AH482" i="1"/>
  <c r="AG479" i="1"/>
  <c r="AI525" i="1"/>
  <c r="AG523" i="1"/>
  <c r="AG528" i="1"/>
  <c r="AG559" i="1"/>
  <c r="AH559" i="1"/>
  <c r="AG7" i="1"/>
  <c r="AI6" i="1"/>
  <c r="AI20" i="1"/>
  <c r="AI43" i="1"/>
  <c r="AI68" i="1"/>
  <c r="AH59" i="1"/>
  <c r="AH64" i="1"/>
  <c r="AG75" i="1"/>
  <c r="AG109" i="1"/>
  <c r="AI106" i="1"/>
  <c r="AH125" i="1"/>
  <c r="AH123" i="1"/>
  <c r="AI134" i="1"/>
  <c r="AH140" i="1"/>
  <c r="AI159" i="1"/>
  <c r="AI175" i="1"/>
  <c r="AH178" i="1"/>
  <c r="AH180" i="1"/>
  <c r="AI200" i="1"/>
  <c r="AH207" i="1"/>
  <c r="AG225" i="1"/>
  <c r="AH218" i="1"/>
  <c r="AG232" i="1"/>
  <c r="AH235" i="1"/>
  <c r="AG244" i="1"/>
  <c r="AG236" i="1"/>
  <c r="AI241" i="1"/>
  <c r="AI253" i="1"/>
  <c r="AG265" i="1"/>
  <c r="AH275" i="1"/>
  <c r="AH272" i="1"/>
  <c r="AG292" i="1"/>
  <c r="AI302" i="1"/>
  <c r="AG315" i="1"/>
  <c r="AG323" i="1"/>
  <c r="AH336" i="1"/>
  <c r="AG341" i="1"/>
  <c r="AI348" i="1"/>
  <c r="AI362" i="1"/>
  <c r="AG383" i="1"/>
  <c r="AG392" i="1"/>
  <c r="AH426" i="1"/>
  <c r="AH429" i="1"/>
  <c r="AG442" i="1"/>
  <c r="AI451" i="1"/>
  <c r="AH465" i="1"/>
  <c r="AH488" i="1"/>
  <c r="AI485" i="1"/>
  <c r="AH495" i="1"/>
  <c r="AI500" i="1"/>
  <c r="AI523" i="1"/>
  <c r="AI533" i="1"/>
  <c r="AG541" i="1"/>
  <c r="AG537" i="1"/>
  <c r="AG566" i="1"/>
  <c r="AH456" i="1"/>
  <c r="AH75" i="1"/>
  <c r="AH109" i="1"/>
  <c r="AI125" i="1"/>
  <c r="AI225" i="1"/>
  <c r="AH236" i="1"/>
  <c r="AG252" i="1"/>
  <c r="AG254" i="1"/>
  <c r="AH265" i="1"/>
  <c r="AI272" i="1"/>
  <c r="AG286" i="1"/>
  <c r="AG290" i="1"/>
  <c r="AG299" i="1"/>
  <c r="AH315" i="1"/>
  <c r="AH323" i="1"/>
  <c r="AH341" i="1"/>
  <c r="AI357" i="1"/>
  <c r="AG368" i="1"/>
  <c r="AH383" i="1"/>
  <c r="AI389" i="1"/>
  <c r="AH392" i="1"/>
  <c r="AG405" i="1"/>
  <c r="AG425" i="1"/>
  <c r="AI429" i="1"/>
  <c r="AG434" i="1"/>
  <c r="AI443" i="1"/>
  <c r="AH442" i="1"/>
  <c r="AH468" i="1"/>
  <c r="AG476" i="1"/>
  <c r="AI472" i="1"/>
  <c r="AG480" i="1"/>
  <c r="AH505" i="1"/>
  <c r="AH541" i="1"/>
  <c r="AH566" i="1"/>
  <c r="AI226" i="1"/>
  <c r="AI457" i="1"/>
  <c r="AH405" i="1"/>
  <c r="AH425" i="1"/>
  <c r="AH434" i="1"/>
  <c r="AI468" i="1"/>
  <c r="AH476" i="1"/>
  <c r="AH480" i="1"/>
  <c r="AG491" i="1"/>
  <c r="AG509" i="1"/>
  <c r="AI520" i="1"/>
  <c r="AI545" i="1"/>
  <c r="AG553" i="1"/>
  <c r="AG555" i="1"/>
  <c r="AI403" i="1"/>
  <c r="AH7" i="1"/>
  <c r="AG27" i="1"/>
  <c r="AG11" i="1"/>
  <c r="AG14" i="1"/>
  <c r="AG23" i="1"/>
  <c r="AI34" i="1"/>
  <c r="AI30" i="1"/>
  <c r="AG45" i="1"/>
  <c r="AH51" i="1"/>
  <c r="AH44" i="1"/>
  <c r="AH53" i="1"/>
  <c r="AG58" i="1"/>
  <c r="AH65" i="1"/>
  <c r="AH67" i="1"/>
  <c r="AI94" i="1"/>
  <c r="AI124" i="1"/>
  <c r="AG132" i="1"/>
  <c r="AG138" i="1"/>
  <c r="AG157" i="1"/>
  <c r="AI171" i="1"/>
  <c r="AH184" i="1"/>
  <c r="AH202" i="1"/>
  <c r="AI214" i="1"/>
  <c r="AG231" i="1"/>
  <c r="AG242" i="1"/>
  <c r="AG238" i="1"/>
  <c r="AH251" i="1"/>
  <c r="AG291" i="1"/>
  <c r="AH385" i="1"/>
  <c r="AG356" i="1"/>
  <c r="AG370" i="1"/>
  <c r="AI399" i="1"/>
  <c r="AI428" i="1"/>
  <c r="AI458" i="1"/>
  <c r="AI478" i="1"/>
  <c r="AH491" i="1"/>
  <c r="AG497" i="1"/>
  <c r="AI501" i="1"/>
  <c r="AH509" i="1"/>
  <c r="AH508" i="1"/>
  <c r="AH527" i="1"/>
  <c r="AH553" i="1"/>
  <c r="AG560" i="1"/>
  <c r="AG564" i="1"/>
  <c r="AI101" i="1"/>
  <c r="AH16" i="1"/>
  <c r="AG19" i="1"/>
  <c r="AG42" i="1"/>
  <c r="AI97" i="1"/>
  <c r="AH84" i="1"/>
  <c r="AH86" i="1"/>
  <c r="AG111" i="1"/>
  <c r="AG103" i="1"/>
  <c r="AH121" i="1"/>
  <c r="AG133" i="1"/>
  <c r="AH165" i="1"/>
  <c r="AH168" i="1"/>
  <c r="AI185" i="1"/>
  <c r="AH210" i="1"/>
  <c r="AH234" i="1"/>
  <c r="AG233" i="1"/>
  <c r="AI239" i="1"/>
  <c r="AI256" i="1"/>
  <c r="AI264" i="1"/>
  <c r="AI268" i="1"/>
  <c r="AH281" i="1"/>
  <c r="AH284" i="1"/>
  <c r="AH316" i="1"/>
  <c r="AG309" i="1"/>
  <c r="AG306" i="1"/>
  <c r="AI332" i="1"/>
  <c r="AH320" i="1"/>
  <c r="AH333" i="1"/>
  <c r="AG345" i="1"/>
  <c r="AG382" i="1"/>
  <c r="AG388" i="1"/>
  <c r="AG395" i="1"/>
  <c r="AG444" i="1"/>
  <c r="AH439" i="1"/>
  <c r="AG455" i="1"/>
  <c r="AG466" i="1"/>
  <c r="AG471" i="1"/>
  <c r="AI514" i="1"/>
  <c r="AH524" i="1"/>
  <c r="AH535" i="1"/>
  <c r="AI544" i="1"/>
  <c r="AH560" i="1"/>
  <c r="AH24" i="1"/>
  <c r="AI234" i="1"/>
  <c r="AG572" i="1"/>
  <c r="AI62" i="1"/>
  <c r="AI5" i="1"/>
  <c r="AI21" i="1"/>
  <c r="AG63" i="1"/>
  <c r="AG145" i="1"/>
  <c r="AG190" i="1"/>
  <c r="AH278" i="1"/>
  <c r="AH366" i="1"/>
  <c r="AH449" i="1"/>
  <c r="AI483" i="1"/>
  <c r="AH513" i="1"/>
  <c r="AI531" i="1"/>
  <c r="AH539" i="1"/>
  <c r="AH549" i="1"/>
  <c r="AI550" i="1"/>
  <c r="AH572" i="1"/>
  <c r="AG29" i="1"/>
  <c r="AH122" i="1"/>
  <c r="AI131" i="1"/>
  <c r="AH131" i="1"/>
  <c r="AI148" i="1"/>
  <c r="AI146" i="1"/>
  <c r="AH146" i="1"/>
  <c r="AG152" i="1"/>
  <c r="AH216" i="1"/>
  <c r="AG216" i="1"/>
  <c r="AG294" i="1"/>
  <c r="AI294" i="1"/>
  <c r="AH294" i="1"/>
  <c r="AI120" i="1"/>
  <c r="AH120" i="1"/>
  <c r="AG122" i="1"/>
  <c r="AH182" i="1"/>
  <c r="AG182" i="1"/>
  <c r="AI55" i="1"/>
  <c r="AH52" i="1"/>
  <c r="AH60" i="1"/>
  <c r="AG60" i="1"/>
  <c r="AG100" i="1"/>
  <c r="AG95" i="1"/>
  <c r="AG82" i="1"/>
  <c r="AG77" i="1"/>
  <c r="AG88" i="1"/>
  <c r="AG102" i="1"/>
  <c r="AG105" i="1"/>
  <c r="AG131" i="1"/>
  <c r="AG146" i="1"/>
  <c r="AH152" i="1"/>
  <c r="AG164" i="1"/>
  <c r="AG208" i="1"/>
  <c r="AI216" i="1"/>
  <c r="AH49" i="1"/>
  <c r="AG49" i="1"/>
  <c r="AG37" i="1"/>
  <c r="AH173" i="1"/>
  <c r="AG173" i="1"/>
  <c r="AG12" i="1"/>
  <c r="AH9" i="1"/>
  <c r="AH37" i="1"/>
  <c r="AG41" i="1"/>
  <c r="AH55" i="1"/>
  <c r="AG52" i="1"/>
  <c r="AH4" i="1"/>
  <c r="AG5" i="1"/>
  <c r="AH12" i="1"/>
  <c r="AI29" i="1"/>
  <c r="AH41" i="1"/>
  <c r="AH46" i="1"/>
  <c r="AG46" i="1"/>
  <c r="AI4" i="1"/>
  <c r="AG21" i="1"/>
  <c r="AG32" i="1"/>
  <c r="AI46" i="1"/>
  <c r="AG48" i="1"/>
  <c r="AG44" i="1"/>
  <c r="AI60" i="1"/>
  <c r="AG65" i="1"/>
  <c r="AI100" i="1"/>
  <c r="AH95" i="1"/>
  <c r="AI77" i="1"/>
  <c r="AH88" i="1"/>
  <c r="AI102" i="1"/>
  <c r="AH105" i="1"/>
  <c r="AH124" i="1"/>
  <c r="AH166" i="1"/>
  <c r="AG166" i="1"/>
  <c r="AH164" i="1"/>
  <c r="AH170" i="1"/>
  <c r="AG170" i="1"/>
  <c r="AH171" i="1"/>
  <c r="AI183" i="1"/>
  <c r="AG183" i="1"/>
  <c r="AH208" i="1"/>
  <c r="AI419" i="1"/>
  <c r="AH419" i="1"/>
  <c r="AG419" i="1"/>
  <c r="AI209" i="1"/>
  <c r="AH209" i="1"/>
  <c r="AG209" i="1"/>
  <c r="AI135" i="1"/>
  <c r="AH135" i="1"/>
  <c r="AI161" i="1"/>
  <c r="AH161" i="1"/>
  <c r="AI186" i="1"/>
  <c r="AH186" i="1"/>
  <c r="AH191" i="1"/>
  <c r="AG191" i="1"/>
  <c r="AI219" i="1"/>
  <c r="AH219" i="1"/>
  <c r="AG219" i="1"/>
  <c r="AI213" i="1"/>
  <c r="AH213" i="1"/>
  <c r="AG213" i="1"/>
  <c r="AI49" i="1"/>
  <c r="AI39" i="1"/>
  <c r="AH39" i="1"/>
  <c r="AI56" i="1"/>
  <c r="AH56" i="1"/>
  <c r="AG13" i="1"/>
  <c r="AG35" i="1"/>
  <c r="AH30" i="1"/>
  <c r="AG39" i="1"/>
  <c r="AH68" i="1"/>
  <c r="AG56" i="1"/>
  <c r="AH93" i="1"/>
  <c r="AG93" i="1"/>
  <c r="AG80" i="1"/>
  <c r="AH78" i="1"/>
  <c r="AG78" i="1"/>
  <c r="AH108" i="1"/>
  <c r="AG108" i="1"/>
  <c r="AH115" i="1"/>
  <c r="AG115" i="1"/>
  <c r="AG135" i="1"/>
  <c r="AG150" i="1"/>
  <c r="AG161" i="1"/>
  <c r="AG186" i="1"/>
  <c r="AI191" i="1"/>
  <c r="AI201" i="1"/>
  <c r="AG201" i="1"/>
  <c r="AH139" i="1"/>
  <c r="AG139" i="1"/>
  <c r="AI80" i="1"/>
  <c r="AI115" i="1"/>
  <c r="AH151" i="1"/>
  <c r="AG151" i="1"/>
  <c r="AH150" i="1"/>
  <c r="AH169" i="1"/>
  <c r="AG169" i="1"/>
  <c r="AH201" i="1"/>
  <c r="AI203" i="1"/>
  <c r="AH203" i="1"/>
  <c r="AH217" i="1"/>
  <c r="AG217" i="1"/>
  <c r="AH303" i="1"/>
  <c r="AI303" i="1"/>
  <c r="AG303" i="1"/>
  <c r="AI378" i="1"/>
  <c r="AH378" i="1"/>
  <c r="AG378" i="1"/>
  <c r="AG25" i="1"/>
  <c r="AI70" i="1"/>
  <c r="AH70" i="1"/>
  <c r="AG96" i="1"/>
  <c r="AI104" i="1"/>
  <c r="AH104" i="1"/>
  <c r="AI151" i="1"/>
  <c r="AI158" i="1"/>
  <c r="AH158" i="1"/>
  <c r="AI169" i="1"/>
  <c r="AI163" i="1"/>
  <c r="AI167" i="1"/>
  <c r="AH167" i="1"/>
  <c r="AG176" i="1"/>
  <c r="AG184" i="1"/>
  <c r="AH198" i="1"/>
  <c r="AG198" i="1"/>
  <c r="AG203" i="1"/>
  <c r="AI217" i="1"/>
  <c r="AI245" i="1"/>
  <c r="AH245" i="1"/>
  <c r="AG245" i="1"/>
  <c r="AI401" i="1"/>
  <c r="AH401" i="1"/>
  <c r="AG401" i="1"/>
  <c r="AH25" i="1"/>
  <c r="AH79" i="1"/>
  <c r="AG79" i="1"/>
  <c r="AH116" i="1"/>
  <c r="AG116" i="1"/>
  <c r="AI269" i="1"/>
  <c r="AH269" i="1"/>
  <c r="AG269" i="1"/>
  <c r="AI396" i="1"/>
  <c r="AH396" i="1"/>
  <c r="AG396" i="1"/>
  <c r="AI196" i="1"/>
  <c r="AH196" i="1"/>
  <c r="AI224" i="1"/>
  <c r="AH224" i="1"/>
  <c r="AG270" i="1"/>
  <c r="AI270" i="1"/>
  <c r="AH270" i="1"/>
  <c r="AH148" i="1"/>
  <c r="AH36" i="1"/>
  <c r="AG97" i="1"/>
  <c r="AI79" i="1"/>
  <c r="AG91" i="1"/>
  <c r="AG107" i="1"/>
  <c r="AI117" i="1"/>
  <c r="AH117" i="1"/>
  <c r="AI116" i="1"/>
  <c r="AH137" i="1"/>
  <c r="AG137" i="1"/>
  <c r="AH149" i="1"/>
  <c r="AG149" i="1"/>
  <c r="AH153" i="1"/>
  <c r="AH187" i="1"/>
  <c r="AG187" i="1"/>
  <c r="AG9" i="1"/>
  <c r="AG17" i="1"/>
  <c r="AI16" i="1"/>
  <c r="AH27" i="1"/>
  <c r="AG22" i="1"/>
  <c r="AI33" i="1"/>
  <c r="AH38" i="1"/>
  <c r="AG8" i="1"/>
  <c r="AI17" i="1"/>
  <c r="AI22" i="1"/>
  <c r="AI98" i="1"/>
  <c r="AH98" i="1"/>
  <c r="AG117" i="1"/>
  <c r="AI137" i="1"/>
  <c r="AI144" i="1"/>
  <c r="AH144" i="1"/>
  <c r="AI149" i="1"/>
  <c r="AI153" i="1"/>
  <c r="AI156" i="1"/>
  <c r="AH156" i="1"/>
  <c r="AG165" i="1"/>
  <c r="AI187" i="1"/>
  <c r="AI189" i="1"/>
  <c r="AG189" i="1"/>
  <c r="AI195" i="1"/>
  <c r="AG195" i="1"/>
  <c r="AG247" i="1"/>
  <c r="AI247" i="1"/>
  <c r="AH247" i="1"/>
  <c r="AH231" i="1"/>
  <c r="AH228" i="1"/>
  <c r="AI254" i="1"/>
  <c r="AI282" i="1"/>
  <c r="AI300" i="1"/>
  <c r="AG305" i="1"/>
  <c r="AI305" i="1"/>
  <c r="AG381" i="1"/>
  <c r="AI381" i="1"/>
  <c r="AI371" i="1"/>
  <c r="AH371" i="1"/>
  <c r="AG371" i="1"/>
  <c r="AH418" i="1"/>
  <c r="AG418" i="1"/>
  <c r="AI454" i="1"/>
  <c r="AH454" i="1"/>
  <c r="AG454" i="1"/>
  <c r="AI470" i="1"/>
  <c r="AH470" i="1"/>
  <c r="AG470" i="1"/>
  <c r="AI510" i="1"/>
  <c r="AH510" i="1"/>
  <c r="AG510" i="1"/>
  <c r="AG114" i="1"/>
  <c r="AG127" i="1"/>
  <c r="AG136" i="1"/>
  <c r="AG147" i="1"/>
  <c r="AG155" i="1"/>
  <c r="AG168" i="1"/>
  <c r="AG172" i="1"/>
  <c r="AG197" i="1"/>
  <c r="AG202" i="1"/>
  <c r="AG215" i="1"/>
  <c r="AG227" i="1"/>
  <c r="AG229" i="1"/>
  <c r="AG239" i="1"/>
  <c r="AG260" i="1"/>
  <c r="AG264" i="1"/>
  <c r="AG283" i="1"/>
  <c r="AG284" i="1"/>
  <c r="AG319" i="1"/>
  <c r="AH305" i="1"/>
  <c r="AH312" i="1"/>
  <c r="AG312" i="1"/>
  <c r="AG353" i="1"/>
  <c r="AG313" i="1"/>
  <c r="AI313" i="1"/>
  <c r="AH347" i="1"/>
  <c r="AG347" i="1"/>
  <c r="AG338" i="1"/>
  <c r="AG337" i="1"/>
  <c r="AI337" i="1"/>
  <c r="AH342" i="1"/>
  <c r="AG342" i="1"/>
  <c r="AG354" i="1"/>
  <c r="AG350" i="1"/>
  <c r="AI350" i="1"/>
  <c r="AI359" i="1"/>
  <c r="AH359" i="1"/>
  <c r="AG359" i="1"/>
  <c r="AH381" i="1"/>
  <c r="AI393" i="1"/>
  <c r="AH393" i="1"/>
  <c r="AH408" i="1"/>
  <c r="AG408" i="1"/>
  <c r="AI418" i="1"/>
  <c r="AH319" i="1"/>
  <c r="AH353" i="1"/>
  <c r="AH338" i="1"/>
  <c r="AH354" i="1"/>
  <c r="AI372" i="1"/>
  <c r="AH372" i="1"/>
  <c r="AI436" i="1"/>
  <c r="AH436" i="1"/>
  <c r="AG436" i="1"/>
  <c r="AI521" i="1"/>
  <c r="AH521" i="1"/>
  <c r="AG521" i="1"/>
  <c r="AH237" i="1"/>
  <c r="AG255" i="1"/>
  <c r="AH257" i="1"/>
  <c r="AG277" i="1"/>
  <c r="AH287" i="1"/>
  <c r="AH297" i="1"/>
  <c r="AH298" i="1"/>
  <c r="AI316" i="1"/>
  <c r="AG330" i="1"/>
  <c r="AI367" i="1"/>
  <c r="AH367" i="1"/>
  <c r="AG377" i="1"/>
  <c r="AG372" i="1"/>
  <c r="AI387" i="1"/>
  <c r="AI386" i="1"/>
  <c r="AH446" i="1"/>
  <c r="AG446" i="1"/>
  <c r="AH450" i="1"/>
  <c r="AG450" i="1"/>
  <c r="AH255" i="1"/>
  <c r="AH277" i="1"/>
  <c r="AI297" i="1"/>
  <c r="AI330" i="1"/>
  <c r="AI325" i="1"/>
  <c r="AH325" i="1"/>
  <c r="AI343" i="1"/>
  <c r="AH343" i="1"/>
  <c r="AI355" i="1"/>
  <c r="AH355" i="1"/>
  <c r="AI377" i="1"/>
  <c r="AI409" i="1"/>
  <c r="AH409" i="1"/>
  <c r="AG409" i="1"/>
  <c r="AI431" i="1"/>
  <c r="AH431" i="1"/>
  <c r="AI529" i="1"/>
  <c r="AH529" i="1"/>
  <c r="AG529" i="1"/>
  <c r="AG210" i="1"/>
  <c r="AG220" i="1"/>
  <c r="AG243" i="1"/>
  <c r="AG271" i="1"/>
  <c r="AG285" i="1"/>
  <c r="AG318" i="1"/>
  <c r="AG325" i="1"/>
  <c r="AG339" i="1"/>
  <c r="AG343" i="1"/>
  <c r="AG348" i="1"/>
  <c r="AG355" i="1"/>
  <c r="AH357" i="1"/>
  <c r="AI390" i="1"/>
  <c r="AH390" i="1"/>
  <c r="AH427" i="1"/>
  <c r="AG427" i="1"/>
  <c r="AG431" i="1"/>
  <c r="AI489" i="1"/>
  <c r="AH489" i="1"/>
  <c r="AG489" i="1"/>
  <c r="AI243" i="1"/>
  <c r="AG293" i="1"/>
  <c r="AI293" i="1"/>
  <c r="AI412" i="1"/>
  <c r="AH412" i="1"/>
  <c r="AH422" i="1"/>
  <c r="AG422" i="1"/>
  <c r="AI542" i="1"/>
  <c r="AH542" i="1"/>
  <c r="AG542" i="1"/>
  <c r="AH188" i="1"/>
  <c r="AH194" i="1"/>
  <c r="AH204" i="1"/>
  <c r="AH212" i="1"/>
  <c r="AG223" i="1"/>
  <c r="AH232" i="1"/>
  <c r="AH233" i="1"/>
  <c r="AH244" i="1"/>
  <c r="AG246" i="1"/>
  <c r="AG248" i="1"/>
  <c r="AI262" i="1"/>
  <c r="AH259" i="1"/>
  <c r="AG274" i="1"/>
  <c r="AG279" i="1"/>
  <c r="AI276" i="1"/>
  <c r="AH292" i="1"/>
  <c r="AH296" i="1"/>
  <c r="AH293" i="1"/>
  <c r="AI314" i="1"/>
  <c r="AG329" i="1"/>
  <c r="AI321" i="1"/>
  <c r="AI333" i="1"/>
  <c r="AI352" i="1"/>
  <c r="AG365" i="1"/>
  <c r="AG376" i="1"/>
  <c r="AH384" i="1"/>
  <c r="AH397" i="1"/>
  <c r="AG397" i="1"/>
  <c r="AG412" i="1"/>
  <c r="AI422" i="1"/>
  <c r="AI440" i="1"/>
  <c r="AH440" i="1"/>
  <c r="AG440" i="1"/>
  <c r="AH223" i="1"/>
  <c r="AH246" i="1"/>
  <c r="AG251" i="1"/>
  <c r="AI248" i="1"/>
  <c r="AH274" i="1"/>
  <c r="AG266" i="1"/>
  <c r="AI279" i="1"/>
  <c r="AG308" i="1"/>
  <c r="AH329" i="1"/>
  <c r="AG307" i="1"/>
  <c r="AG326" i="1"/>
  <c r="AG344" i="1"/>
  <c r="AG349" i="1"/>
  <c r="AG361" i="1"/>
  <c r="AH365" i="1"/>
  <c r="AH376" i="1"/>
  <c r="AH400" i="1"/>
  <c r="AG400" i="1"/>
  <c r="AI397" i="1"/>
  <c r="AH460" i="1"/>
  <c r="AG460" i="1"/>
  <c r="AI462" i="1"/>
  <c r="AH462" i="1"/>
  <c r="AG462" i="1"/>
  <c r="AI557" i="1"/>
  <c r="AH557" i="1"/>
  <c r="AG557" i="1"/>
  <c r="AI308" i="1"/>
  <c r="AG328" i="1"/>
  <c r="AI328" i="1"/>
  <c r="AH307" i="1"/>
  <c r="AH326" i="1"/>
  <c r="AG336" i="1"/>
  <c r="AH344" i="1"/>
  <c r="AG385" i="1"/>
  <c r="AH349" i="1"/>
  <c r="AH361" i="1"/>
  <c r="AI400" i="1"/>
  <c r="AI416" i="1"/>
  <c r="AH416" i="1"/>
  <c r="AG416" i="1"/>
  <c r="AI460" i="1"/>
  <c r="AH430" i="1"/>
  <c r="AG430" i="1"/>
  <c r="AH438" i="1"/>
  <c r="AG438" i="1"/>
  <c r="AI496" i="1"/>
  <c r="AH496" i="1"/>
  <c r="AG496" i="1"/>
  <c r="AI571" i="1"/>
  <c r="AH571" i="1"/>
  <c r="AG571" i="1"/>
  <c r="AI394" i="1"/>
  <c r="AI402" i="1"/>
  <c r="AI413" i="1"/>
  <c r="AI426" i="1"/>
  <c r="AI441" i="1"/>
  <c r="AI445" i="1"/>
  <c r="AI465" i="1"/>
  <c r="AH471" i="1"/>
  <c r="AI469" i="1"/>
  <c r="AH479" i="1"/>
  <c r="AI486" i="1"/>
  <c r="AH497" i="1"/>
  <c r="AI505" i="1"/>
  <c r="AH502" i="1"/>
  <c r="AI508" i="1"/>
  <c r="AH515" i="1"/>
  <c r="AI524" i="1"/>
  <c r="AH528" i="1"/>
  <c r="AI539" i="1"/>
  <c r="AH537" i="1"/>
  <c r="AI543" i="1"/>
  <c r="AH555" i="1"/>
  <c r="AI561" i="1"/>
  <c r="AH564" i="1"/>
  <c r="AI569" i="1"/>
  <c r="AH410" i="1"/>
  <c r="AH421" i="1"/>
  <c r="AG463" i="1"/>
  <c r="AG481" i="1"/>
  <c r="AG487" i="1"/>
  <c r="AG504" i="1"/>
  <c r="AG507" i="1"/>
  <c r="AG526" i="1"/>
  <c r="AG540" i="1"/>
  <c r="AG551" i="1"/>
  <c r="AG562" i="1"/>
  <c r="AG570" i="1"/>
  <c r="AG391" i="1"/>
  <c r="AG404" i="1"/>
  <c r="AG407" i="1"/>
  <c r="AG423" i="1"/>
  <c r="AG433" i="1"/>
  <c r="AG448" i="1"/>
  <c r="AG459" i="1"/>
  <c r="AH463" i="1"/>
  <c r="AG475" i="1"/>
  <c r="AH481" i="1"/>
  <c r="AG477" i="1"/>
  <c r="AH487" i="1"/>
  <c r="AG499" i="1"/>
  <c r="AH504" i="1"/>
  <c r="AG506" i="1"/>
  <c r="AH507" i="1"/>
  <c r="AG516" i="1"/>
  <c r="AH526" i="1"/>
  <c r="AG534" i="1"/>
  <c r="AH540" i="1"/>
  <c r="AG548" i="1"/>
  <c r="AH551" i="1"/>
  <c r="AG554" i="1"/>
  <c r="AH562" i="1"/>
  <c r="AG565" i="1"/>
  <c r="AH570" i="1"/>
  <c r="AH391" i="1"/>
  <c r="AG389" i="1"/>
  <c r="AH404" i="1"/>
  <c r="AG399" i="1"/>
  <c r="AH407" i="1"/>
  <c r="AG414" i="1"/>
  <c r="AH423" i="1"/>
  <c r="AG424" i="1"/>
  <c r="AH433" i="1"/>
  <c r="AG443" i="1"/>
  <c r="AH448" i="1"/>
  <c r="AG447" i="1"/>
  <c r="AH459" i="1"/>
  <c r="AG467" i="1"/>
  <c r="AH475" i="1"/>
  <c r="AG472" i="1"/>
  <c r="AH477" i="1"/>
  <c r="AG490" i="1"/>
  <c r="AH499" i="1"/>
  <c r="AG493" i="1"/>
  <c r="AH506" i="1"/>
  <c r="AG512" i="1"/>
  <c r="AH516" i="1"/>
  <c r="AG522" i="1"/>
  <c r="AH534" i="1"/>
  <c r="AG536" i="1"/>
  <c r="AH548" i="1"/>
  <c r="AG546" i="1"/>
  <c r="AH554" i="1"/>
  <c r="AG558" i="1"/>
  <c r="AH565" i="1"/>
  <c r="AG574" i="1"/>
  <c r="AH493" i="1"/>
  <c r="AG501" i="1"/>
  <c r="AH512" i="1"/>
  <c r="AG514" i="1"/>
  <c r="AH522" i="1"/>
  <c r="AG531" i="1"/>
  <c r="AH536" i="1"/>
  <c r="AG538" i="1"/>
  <c r="AH546" i="1"/>
  <c r="AG552" i="1"/>
  <c r="AH558" i="1"/>
  <c r="AG563" i="1"/>
  <c r="AH574" i="1"/>
  <c r="AH437" i="1"/>
  <c r="AH453" i="1"/>
  <c r="AH466" i="1"/>
  <c r="AG473" i="1"/>
  <c r="AG478" i="1"/>
  <c r="AG498" i="1"/>
  <c r="AG511" i="1"/>
  <c r="AG519" i="1"/>
  <c r="AG530" i="1"/>
  <c r="AG544" i="1"/>
  <c r="AG550" i="1"/>
  <c r="AG567" i="1"/>
</calcChain>
</file>

<file path=xl/sharedStrings.xml><?xml version="1.0" encoding="utf-8"?>
<sst xmlns="http://schemas.openxmlformats.org/spreadsheetml/2006/main" count="14224" uniqueCount="1419">
  <si>
    <t>Erweiterte Meldedaten zum Spielbetrieb - Saison25/26</t>
  </si>
  <si>
    <t>V. Nr.</t>
  </si>
  <si>
    <t>Vereinsname</t>
  </si>
  <si>
    <t>SRG</t>
  </si>
  <si>
    <t>Region</t>
  </si>
  <si>
    <t>Bezirk alt</t>
  </si>
  <si>
    <t>Bezirk neu</t>
  </si>
  <si>
    <t>MS-Art</t>
  </si>
  <si>
    <t>Spielklasse</t>
  </si>
  <si>
    <t>Staffel Grobeinteilung</t>
  </si>
  <si>
    <t>Staffel</t>
  </si>
  <si>
    <t>MS-Nr.</t>
  </si>
  <si>
    <t>Mannschaftsname</t>
  </si>
  <si>
    <t>Meisterschaft</t>
  </si>
  <si>
    <t>Pokal</t>
  </si>
  <si>
    <t>Spieler</t>
  </si>
  <si>
    <t>Jahrgang</t>
  </si>
  <si>
    <t>Spielstärke</t>
  </si>
  <si>
    <t>Topf (Stand Vorrunde)</t>
  </si>
  <si>
    <t>Spieltag</t>
  </si>
  <si>
    <t>Uhrzeit</t>
  </si>
  <si>
    <t>Wünsche</t>
  </si>
  <si>
    <t>Spielstätte 1 ab</t>
  </si>
  <si>
    <t>Spielfeld 1</t>
  </si>
  <si>
    <t>Spielstätte 2 ab</t>
  </si>
  <si>
    <t>Spielfeld 2</t>
  </si>
  <si>
    <t>Spielstätte 3 ab</t>
  </si>
  <si>
    <t>Spielfeld 3</t>
  </si>
  <si>
    <t>Spielstätte</t>
  </si>
  <si>
    <t>Straße</t>
  </si>
  <si>
    <t>PLZ</t>
  </si>
  <si>
    <t>Ort</t>
  </si>
  <si>
    <t>35002312</t>
  </si>
  <si>
    <t>VfR Heilbronn 96/18</t>
  </si>
  <si>
    <t>Heilbronn</t>
  </si>
  <si>
    <t>Nord 1</t>
  </si>
  <si>
    <t>Unterland</t>
  </si>
  <si>
    <t>A-Junioren</t>
  </si>
  <si>
    <t>Verbandsstaffel</t>
  </si>
  <si>
    <t>A VS</t>
  </si>
  <si>
    <t>J</t>
  </si>
  <si>
    <t>11</t>
  </si>
  <si>
    <t>nicht relevant</t>
  </si>
  <si>
    <t/>
  </si>
  <si>
    <t>Sonntag 16 Uhr Bitte beachten  wenn A Jugend Heim spielt B Junioren Auswärts spielen sollten_x000D_
wenn nicht möglich dann _x000D_
U17 Verbandsstsaffel auf 11 Uhr</t>
  </si>
  <si>
    <t>01.07.2025</t>
  </si>
  <si>
    <t>Heilbronn Frankenstadion Kunstrasen, Badstr. 100, 74072 Heilbronn-Zentrum</t>
  </si>
  <si>
    <t>35000636</t>
  </si>
  <si>
    <t>FSV Hollenbach</t>
  </si>
  <si>
    <t>Künzelsau</t>
  </si>
  <si>
    <t>Hohenlohe</t>
  </si>
  <si>
    <t>Landesstaffel</t>
  </si>
  <si>
    <t>A LaS</t>
  </si>
  <si>
    <t>N</t>
  </si>
  <si>
    <t>Bitte beachten Sie, dass unsere U19-Landesstaffel und U17-Verbandsstaffel am Sonntagsspieltag stehen und darauf geachtet werden muss, dass das Heimrecht nicht mit den beiden Mannschaften kollidiert.</t>
  </si>
  <si>
    <t>Jako Arena (Kunstrasenplatz), Am Sportplatz 40, 74673 Mulfingen-Hollenbach</t>
  </si>
  <si>
    <t>35000533</t>
  </si>
  <si>
    <t>Spfr Schwäbisch Hall</t>
  </si>
  <si>
    <t>Schwäbisch Hall</t>
  </si>
  <si>
    <t>Kunstrasenplatz am Schenkenseestadion, Schenkenseestr., 74523 Schwäbisch Hall</t>
  </si>
  <si>
    <t>35001207</t>
  </si>
  <si>
    <t>SV Schluchtern</t>
  </si>
  <si>
    <t>Samstag 15:30</t>
  </si>
  <si>
    <t>Leingarten Kunstrasen, Egarten, 74211 Leingarten-Großgartach</t>
  </si>
  <si>
    <t>35001002</t>
  </si>
  <si>
    <t>TSG Öhringen</t>
  </si>
  <si>
    <t>Öhringen</t>
  </si>
  <si>
    <t>Kunstrasenplatz TSG Öhringen, Pfaffenmühlweg 44, 74613 Öhringen-Zentrum</t>
  </si>
  <si>
    <t>35000910</t>
  </si>
  <si>
    <t>Spfr Neckarwestheim</t>
  </si>
  <si>
    <t>Regionenstaffel</t>
  </si>
  <si>
    <t>A RS</t>
  </si>
  <si>
    <t>SGM Neckarwestheim/Talheim I</t>
  </si>
  <si>
    <t>Bitte Heimspiele A1 und A2 am gleichen Tag zu Hause_x000D_
_x000D_
A1 = 16:00 Uhr_x000D_
A2 = 13:30 Uhr</t>
  </si>
  <si>
    <t>Neckarwestheim Rasen 1, Reblandstr. 31, 74382 Neckarwestheim-Zentrum</t>
  </si>
  <si>
    <t>35000537</t>
  </si>
  <si>
    <t>TSV Hardthausen</t>
  </si>
  <si>
    <t>Kocher/Jagst</t>
  </si>
  <si>
    <t>SGM TSV Hardthausen KoBra</t>
  </si>
  <si>
    <t>bitte um spielfrei am Wochenende 27.+28.09.25, Grund: Brettacher Markt, Trainer und Spieler sind am Jugendstand eingeteilt</t>
  </si>
  <si>
    <t>Hardthausen Rasen, Buchsmühle 1, 74239 Hardthausen</t>
  </si>
  <si>
    <t>35000856</t>
  </si>
  <si>
    <t>TSV Michelfeld</t>
  </si>
  <si>
    <t>SGM TSV Michelfeld/Juniorteam MMB</t>
  </si>
  <si>
    <t>Kunstrasenplatz TSV Michelfeld, Stuttgarter Str. 181, 74545 Michelfeld</t>
  </si>
  <si>
    <t>35002198</t>
  </si>
  <si>
    <t>FC Union Heilbronn</t>
  </si>
  <si>
    <t>SGM Union Heilbronn / TSN 1969</t>
  </si>
  <si>
    <t>- Anstoßzeiten bitte berücksichtigen, da ansonsten Probleme bei der Platzbelegung:_x000D_
_x000D_
Anstoßzeiten_x000D_
- 09:30 Uhr E-Jugend, D-Jugend_x000D_
- 11:15 Uhr D-Jugend, C-Jugend, B-Jugend, A-Jugend (auch möglich)_x000D_
- 13:30 Uhr C-Jugend, B-Jugend, A-Jugend_x000D_
- 15:45 Uhr A-Jugend, Herren_x000D_
- 18:00 Uhr B-Jugend, D-Jugend, E-Jugend</t>
  </si>
  <si>
    <t>Böckingen (SC) Kunstrasen, Viehweide 5, 74080 Heilbronn-Böckingen</t>
  </si>
  <si>
    <t>35001710</t>
  </si>
  <si>
    <t>VfR Gommersdorf</t>
  </si>
  <si>
    <t>SGM VfR Gommersdorf/Mittleres Jagsttal</t>
  </si>
  <si>
    <t>Wenn möglich bitte die Heimspiele der SGM 1 gegengleich zu den Spielen der aktiven Mannschaft von Gommersdorf.  Sprich, wenn die aktive Mannschaften zu Hause spielt, bitte unsere Mannschaft auswärts, und wenn die aktive Mannschaft auswärts, dann wir zu Hause._x000D_
_x000D_
Im Zeitraum 17. - 19.10.2025 ist Herbstmesse in Krautheim. Bitte wenn möglich die Spiele der A- &amp; B-Jugend auf Freitag Abend ansetzen.</t>
  </si>
  <si>
    <t>VfR Gommersdorf - Dieter-Gärtner-Arena 1, Stichele 1, 74238 Krautheim-Gommersdorf</t>
  </si>
  <si>
    <t>01.01.2026</t>
  </si>
  <si>
    <t>VfR Gommersdorf - Dieter-Gärtner-Arena 2, Stichele 1, 74238 Krautheim-Gommersdorf</t>
  </si>
  <si>
    <t>35000905</t>
  </si>
  <si>
    <t>Neckarsulmer Sport-Union</t>
  </si>
  <si>
    <t>Sport-Union Neckarsulm</t>
  </si>
  <si>
    <t>Neckarsulm Pichterich Kunstrasen, Pichterichstr. 71, 74172 Neckarsulm-Zentrum</t>
  </si>
  <si>
    <t>35000493</t>
  </si>
  <si>
    <t>SpVgg Gröningen-Satteldorf</t>
  </si>
  <si>
    <t>Crailsheim</t>
  </si>
  <si>
    <t>SpVgg Satteldorf</t>
  </si>
  <si>
    <t>Kunstrasenplatz (Platz 3)  SpVgg Satteldorf, Kernmühlenweg, 74589 Satteldorf-Neidenfels</t>
  </si>
  <si>
    <t>35000668</t>
  </si>
  <si>
    <t>TSV Ilshofen</t>
  </si>
  <si>
    <t>Kunstrasenplatz TSV Ilshofen, Aspacher Str., 74532 Ilshofen</t>
  </si>
  <si>
    <t>35000404</t>
  </si>
  <si>
    <t>TV Flein</t>
  </si>
  <si>
    <t>Flein Rasen (Stadion), Talheimer Str. 1, 74223 Flein-Zentrum</t>
  </si>
  <si>
    <t>35000904</t>
  </si>
  <si>
    <t>SC Neckarsulm-Amorbach</t>
  </si>
  <si>
    <t>Kreisstaffel</t>
  </si>
  <si>
    <t>A LS</t>
  </si>
  <si>
    <t>A LS 1</t>
  </si>
  <si>
    <t>SC Amorbach</t>
  </si>
  <si>
    <t>Topf 1</t>
  </si>
  <si>
    <t>Amorbach Kunstrasen, Schwabenweg 25, 74172 Neckarsulm-Amorbach</t>
  </si>
  <si>
    <t>35001521</t>
  </si>
  <si>
    <t>SG Bad Wimpfen</t>
  </si>
  <si>
    <t>Bad Wimpfen Kunstrasen, Erich-Sailer-Str. 59, 74206 Bad Wimpfen-Zentrum</t>
  </si>
  <si>
    <t>35000236</t>
  </si>
  <si>
    <t>TSV Cleebronn</t>
  </si>
  <si>
    <t>SGM Cleebronn/Botenheim/Eibensbach/Stockheim</t>
  </si>
  <si>
    <t>Cleebronn Rasen 1, Schützenstr., 74389 Cleebronn-Zentrum</t>
  </si>
  <si>
    <t>35000298</t>
  </si>
  <si>
    <t>TGV Dürrenzimmern</t>
  </si>
  <si>
    <t>SGM Dürrenzimmern Unteres Zabergäu</t>
  </si>
  <si>
    <t>Dürrenzimmern Rasen 1, Unter dem Hörnle, 74336 Brackenheim-Dürrenzimmern</t>
  </si>
  <si>
    <t>35000620</t>
  </si>
  <si>
    <t>TSV Höchstberg</t>
  </si>
  <si>
    <t>SGM Höchstberg H-U-T-H I</t>
  </si>
  <si>
    <t>Heimspiele A1+A2 am gleichen Tag
ungleich  mit C-Junioren</t>
  </si>
  <si>
    <t>Bitte wenn möglich die Heimspiele der 2. Mannschaft unserer A-Junioren auf das gleiche Wochenende legen._x000D_
_x000D_
Bitte wenn möglich die Heimspiele der C-Junioren, die auch in Höchstberg spielen werden, auf die Wochenenden legen, wo die A-Jugend ein Auswärtsspiel hat. Da es nur 2 Kabinen gibt._x000D_
_x000D_
Am Wochenende  11.10. + 12.10.2025 veranstaltet der TSV Höchstberg sein Herbstfest. Hier hätten wir gerne ein Heimspiel, wenn möglich ein "Derby".</t>
  </si>
  <si>
    <t>Höchstberg Rasen 1, Sonnenstr., 74831 Gundelsheim-Höchstberg</t>
  </si>
  <si>
    <t>35000716</t>
  </si>
  <si>
    <t>FC Kirchhausen</t>
  </si>
  <si>
    <t>SGM Kirchhausen</t>
  </si>
  <si>
    <t>Kirchhausen Kunstrasenplatz, Steinbrünnleswiesen 1, 74078 Heilbronn-Kirchhausen</t>
  </si>
  <si>
    <t>35000923</t>
  </si>
  <si>
    <t>TSV Neuenstadt</t>
  </si>
  <si>
    <t>SGM Neuenstadt Kochertal</t>
  </si>
  <si>
    <t>Pool 1_x000D_
die Heimspiele der AJ sollen in der VR in Oedheim stattfinden, in der RR dann in Neuenstadt</t>
  </si>
  <si>
    <t>Oedheim Rasen, Mörikestr. 37, 74229 Oedheim</t>
  </si>
  <si>
    <t>Neuenstadt Rasen, Cleversulzbacher Str. 89, 74196 Neuenstadt am Kocher</t>
  </si>
  <si>
    <t>35000971</t>
  </si>
  <si>
    <t>MSG Eintracht Obergriesheim</t>
  </si>
  <si>
    <t>SGM Obergriesheim Krumme Ebene am Neckar</t>
  </si>
  <si>
    <t>Obergriesheim Rasen, Mühlweg, 74831 Gundelsheim-Obergriesheim</t>
  </si>
  <si>
    <t>31.10.2025</t>
  </si>
  <si>
    <t>Gundelsheim Kunstrasen, Danziger Str., 74831 Gundelsheim-Zentrum</t>
  </si>
  <si>
    <t>01.04.2026</t>
  </si>
  <si>
    <t>35000006</t>
  </si>
  <si>
    <t>SC Abstatt</t>
  </si>
  <si>
    <t>SGM SC Abstatt/Beilstein/Ilsfeld/Heinriet ABI</t>
  </si>
  <si>
    <t>Abstatt Kunstrasen, Kirschenwiesen, 74232 Abstatt-Zentrum</t>
  </si>
  <si>
    <t>35000777</t>
  </si>
  <si>
    <t>SV Leingarten</t>
  </si>
  <si>
    <t>35000853</t>
  </si>
  <si>
    <t>SC Michelbach/Wald</t>
  </si>
  <si>
    <t>A LS 2</t>
  </si>
  <si>
    <t>Keine Heimspiele möglich wegen Veranstaltungen in der Sporthalle incl. Umkleidekabinen._x000D_
Samstag, 01.11.2025_x000D_
Samstag, 15.11.2025 und Sonntag, 16.11.2025_x000D_
Samstag, 22.11.2025 und Sonntag, 23.11.2025</t>
  </si>
  <si>
    <t>Sportplatz 1 SC Michelbach/Wald, Keltergasse, 74613 Öhringen-Michelbach</t>
  </si>
  <si>
    <t>35001250</t>
  </si>
  <si>
    <t>SC Steinbach-Comburg</t>
  </si>
  <si>
    <t>SC Steinbach</t>
  </si>
  <si>
    <t>Sportplatz 1 Steinbach-Comburg, Mühlsteige 22, 74523 Schwäbisch Hall-Steinbach</t>
  </si>
  <si>
    <t>01.08.2025</t>
  </si>
  <si>
    <t>Kunstrasenplatz am Hagenbachstadion, Hagenbacher Ring, 74523 Schwäbisch Hall</t>
  </si>
  <si>
    <t>35000293</t>
  </si>
  <si>
    <t>TSV Dünsbach</t>
  </si>
  <si>
    <t>SGM Dünsbach/Blaufelden/Gerabronn/Billingsbach</t>
  </si>
  <si>
    <t>Topf 1_x000D_
Spieltag Samstag Nachmittag</t>
  </si>
  <si>
    <t>Kunstrasenplatz TSV Gerabronn, Jahnstr., 74582 Gerabronn</t>
  </si>
  <si>
    <t>35000584</t>
  </si>
  <si>
    <t>Spvgg Hengstfeld-Wallhausen</t>
  </si>
  <si>
    <t>SGM Hengstfeld/Rot am See/Brettheim</t>
  </si>
  <si>
    <t>Kunstrasenplatz Rot am See, An den Sportanlagen 6, 74585 Rot am See</t>
  </si>
  <si>
    <t>35000534</t>
  </si>
  <si>
    <t>SSV Schwäbisch Hall</t>
  </si>
  <si>
    <t>SGM SSV Schwäbisch Hall/Tura Untermünkheim</t>
  </si>
  <si>
    <t>Sportplatz 1 SSV SHA, Breiteichstr. 49, 74523 Schwäbisch Hall</t>
  </si>
  <si>
    <t>35001186</t>
  </si>
  <si>
    <t>TSV Sulzdorf</t>
  </si>
  <si>
    <t>SGM Sulzdorf/Hessental</t>
  </si>
  <si>
    <t>Sportplatz 1 TSV Sulzdorf, Ladestr. 5, 74523 Schwäbisch Hall-Sulzdorf</t>
  </si>
  <si>
    <t>01.02.2026</t>
  </si>
  <si>
    <t>Sportplatz 1 TSV Hessental, Im Wacholder 1, 74523 Schwäbisch Hall-Hessental</t>
  </si>
  <si>
    <t>35000749</t>
  </si>
  <si>
    <t>TSV Kupferzell</t>
  </si>
  <si>
    <t>SGM TSV Kupferzell/Gaisbach/Ingelfingen</t>
  </si>
  <si>
    <t>Kunstrasenplatz SSV Gaisbach, Ballenwasen 4, 74653 Künzelsau-Gaisbach</t>
  </si>
  <si>
    <t>14.07.2025</t>
  </si>
  <si>
    <t>Sportplatz 2 TSV Kupferzell, Neue Str. 29, 74635 Kupferzell-Zentrum</t>
  </si>
  <si>
    <t>15.07.2025</t>
  </si>
  <si>
    <t>Sportplatz 1 TSV Kupferzell, Neue Str. 29, 74635 Kupferzell-Zentrum</t>
  </si>
  <si>
    <t>35001432</t>
  </si>
  <si>
    <t>TSV Vellberg</t>
  </si>
  <si>
    <t>SGM Vellberg/Obersontheim/Gründelh.-Operspeltach/Honhardt</t>
  </si>
  <si>
    <t>Sportplatz 1, TSV Vellberg, In den Sportanlagen 1, 74541 Vellberg-Talheim</t>
  </si>
  <si>
    <t>35000846</t>
  </si>
  <si>
    <t>VfB Bad Mergentheim</t>
  </si>
  <si>
    <t>Bad Mergentheim</t>
  </si>
  <si>
    <t>SGM VfB Bad Mergentheim /1. FC Igersheim</t>
  </si>
  <si>
    <t>Sportplatz an der Erlenbachtalhalle Igersheim, Erlenbachtalstr., 97999 Igersheim-Zentrum</t>
  </si>
  <si>
    <t>35000238</t>
  </si>
  <si>
    <t>TSV Crailsheim</t>
  </si>
  <si>
    <t>Bitte an diesem Termin Spielfrei  18.09.25 - 22.09.25  (Volksfest)</t>
  </si>
  <si>
    <t>Kunstrasenplatz am Volksfestplatz, Schönebürgstr., 74564 Crailsheim</t>
  </si>
  <si>
    <t>35000774</t>
  </si>
  <si>
    <t>TSV Lehrensteinsfeld</t>
  </si>
  <si>
    <t>A KS</t>
  </si>
  <si>
    <t>A KS 1</t>
  </si>
  <si>
    <t>SGM Lehrensteinsfeld</t>
  </si>
  <si>
    <t>Lehrensteinsfeld Rasen, Seestr., 74251 Lehrensteinsfeld-Zentrum</t>
  </si>
  <si>
    <t>35000842</t>
  </si>
  <si>
    <t>TSV Meimsheim</t>
  </si>
  <si>
    <t>SGM TSV Meimsheim Neckar/Zabergäu</t>
  </si>
  <si>
    <t>Meimsheim Rasen 1, Alter Lauffener Weg, 74336 Brackenheim-Meimsheim</t>
  </si>
  <si>
    <t>09.02.2026</t>
  </si>
  <si>
    <t>Lauffen Rasen 3, Am Forchenwald, 74348 Lauffen am Neckar-Zentrum</t>
  </si>
  <si>
    <t>35000411</t>
  </si>
  <si>
    <t>Sportverein Heilbronn am Leinbach 1891</t>
  </si>
  <si>
    <t>SV Heilbronn am Leinbach</t>
  </si>
  <si>
    <t>Topf 2</t>
  </si>
  <si>
    <t>Änderung zur Rückrunde: keine Flex-Mannschaft mehr und Zuordnung zu Topf 1_x000D_
_x000D_
FLEX MANNSCHAFT</t>
  </si>
  <si>
    <t>Frankenbach Rasen, Riedweg 52, 74078 Heilbronn-Frankenbach</t>
  </si>
  <si>
    <t>35000187</t>
  </si>
  <si>
    <t>TG Böckingen</t>
  </si>
  <si>
    <t>Böckingen (TG) Viehweide Kunstrasen, Viehweide 20, 74080 Heilbronn-Böckingen</t>
  </si>
  <si>
    <t>35001402</t>
  </si>
  <si>
    <t>TSV Untergruppenbach</t>
  </si>
  <si>
    <t>Untergruppenbach Rasen 1 (Stadion), Obergruppenbacher Str., 74199 Untergruppenbach-Zentrum</t>
  </si>
  <si>
    <t>35001490</t>
  </si>
  <si>
    <t>TSV Weinsberg</t>
  </si>
  <si>
    <t>Weinsberg Rasen 2, Rappenhofweg, 74189 Weinsberg-Zentrum</t>
  </si>
  <si>
    <t>35000186</t>
  </si>
  <si>
    <t>SC Böckingen</t>
  </si>
  <si>
    <t>A KS 2</t>
  </si>
  <si>
    <t>SC Böckingen (flex)</t>
  </si>
  <si>
    <t>Bitte unsere ganzen Jugendmannschaften, in den Topf B. _x000D_
Zum Teil sind es neue Mannschaften, oder frisch in die nächste Jugend kommende Mannschaften._x000D_
Wir sind kein Talentverein, sondern eine Auffanggesellschaft der umliegenden Vereinen</t>
  </si>
  <si>
    <t>35000201</t>
  </si>
  <si>
    <t>SV Bonfeld</t>
  </si>
  <si>
    <t>SGM Bonfeld/Fürfeld/Obergimpern (flex)</t>
  </si>
  <si>
    <t>TSV Obergimpern, Am Dreschplatz, 74906 Bad Rappenau-Obergimpern</t>
  </si>
  <si>
    <t>35000340</t>
  </si>
  <si>
    <t>TSV Ellhofen (Franken)</t>
  </si>
  <si>
    <t>SGM Ellhofen Sulmtal (flex)</t>
  </si>
  <si>
    <t>Mannschaft bitte als Flex eintragen</t>
  </si>
  <si>
    <t>Sülzbach Rasen, Talstr. 25, 74182 Obersulm-Sülzbach</t>
  </si>
  <si>
    <t>SGM Höchstberg H-U-T-H II (flex)</t>
  </si>
  <si>
    <t>Heimspiele A1+A2 am gleichen Tag</t>
  </si>
  <si>
    <t>Bitte wenn möglich die Heimspiele am gleichen Wochenende wie bei den A-Junioren der 1. Mannschaft ansetzen.</t>
  </si>
  <si>
    <t>Herbolzheim Rasen, Untergriesheimer Str. 15, 74861 Neudenau-Herbolzheim</t>
  </si>
  <si>
    <t>SGM Neckarwestheim/Talheim II</t>
  </si>
  <si>
    <t>35002135</t>
  </si>
  <si>
    <t>SC Oberes Zabergäu</t>
  </si>
  <si>
    <t>SGM Oberes Zabergäu/Mühlbach/Sulzfeld</t>
  </si>
  <si>
    <t>Leistungsbedingt bitte in Topf 2 ansetzen</t>
  </si>
  <si>
    <t>Zaberfeld Rasen 1, Weilerer Str., 74374 Zaberfeld-Zentrum</t>
  </si>
  <si>
    <t>31.12.2025</t>
  </si>
  <si>
    <t>Leonbronn Rasen, Todtenwald, 74374 Zaberfeld-Leonbronn</t>
  </si>
  <si>
    <t>VfL Mühlbach, Steinbruchweg 9, 75031 Eppingen-Mühlbach</t>
  </si>
  <si>
    <t>35000943</t>
  </si>
  <si>
    <t>TSV Niederhofen</t>
  </si>
  <si>
    <t>SGM TSV Niederhofen/Oberes Leintal (flex)</t>
  </si>
  <si>
    <t>Heimspiele ungleich E-Junioren</t>
  </si>
  <si>
    <t>Bitte die Heimspiele der A-Junioren nicht an den gleichen Samstagen ansetzen, wie die Heimspiele der EI &amp; EII-Junioren. _x000D_
Bitte die Mannschaft der A-Junioren als "Flex-Mannschaft" einstellen._x000D_
Bitte die Mannschaft der A-Junioren in den Pool B einplanen.</t>
  </si>
  <si>
    <t>Niederhofen Rasen, Lindenstr., 74193 Schwaigern-Niederhofen</t>
  </si>
  <si>
    <t>35000079</t>
  </si>
  <si>
    <t>SSV Auenstein</t>
  </si>
  <si>
    <t>Heimspiele aller Mannschaften am gleichen Tag</t>
  </si>
  <si>
    <t>Bitte die Heimspiele wenn möglich gemeinsam mit den anderen Jugendmannschaften. So können wir einen schönen Heimspieltag mit allen Jugenden inkl. Bewirtung organisieren, wäre schön wenn das möglich wäre!!_x000D_
_x000D_
Bitte alle SSV Auenstein Jugendmannschaften in den Topf 2 eintragen. Von E-Jugend bis A-Jugend. Bitte alle ohne Leistungsorientierung.</t>
  </si>
  <si>
    <t>Auenstein Rasen 1 (Sportpark am Tiefenbach), Ochsenweg 1, 74360 Ilsfeld-Auenstein</t>
  </si>
  <si>
    <t>35000224</t>
  </si>
  <si>
    <t>Spfr DJK Bühlerzell</t>
  </si>
  <si>
    <t>A KS 3</t>
  </si>
  <si>
    <t>SGM Bühlerzell/Bühlertann (flex)</t>
  </si>
  <si>
    <t>1) Heimspiele auf Montag 19.30 Uhr legen._x000D_
2) Samstag 20.09. bitte Auswärtsspiel !!  (VR-Cup ist da in Bühlerzell)</t>
  </si>
  <si>
    <t>Sportplatz 1 Bühlerzell, Am Schäufelfeld 20, 74426 Bühlerzell</t>
  </si>
  <si>
    <t>35000392</t>
  </si>
  <si>
    <t>TSV Eutendorf</t>
  </si>
  <si>
    <t>SGM Eutendorf/Ottendorf</t>
  </si>
  <si>
    <t>Sportplatz 1, TSV Eutendorf, Altdorfer Str. 55, 74405 Gaildorf-Eutendorf</t>
  </si>
  <si>
    <t>35000989</t>
  </si>
  <si>
    <t>FC Oberrot</t>
  </si>
  <si>
    <t>Backnang/Schwäbisch Hall</t>
  </si>
  <si>
    <t>Nord 2</t>
  </si>
  <si>
    <t>Rems/Murr</t>
  </si>
  <si>
    <t>SGM Oberrot/Rottal (flex)</t>
  </si>
  <si>
    <t>Rasenplatz Oberrot, Am Sportplatz 11, 74420 Oberrot-Zentrum</t>
  </si>
  <si>
    <t>01.12.2025</t>
  </si>
  <si>
    <t>Rasenplatz Fichtenberg, Schulstr. 7, 74427 Fichtenberg-Zentrum</t>
  </si>
  <si>
    <t>35001233</t>
  </si>
  <si>
    <t>TSV Schwabbach</t>
  </si>
  <si>
    <t>SGM TSV Schwabbach/Brettachtal</t>
  </si>
  <si>
    <t>Die Heimspiele werden vorraussichtlich in Bitzfeld stattfinden, dies ist noch in klärung. Ich werde mich hierzu dann nochmal melden. Unsere Spiele kann man gerne falls möglich, früher wie 16 Uhr ansetzten, gerne schon auf 14 Uhr.</t>
  </si>
  <si>
    <t>Sportplatz 1 Bitzfeld, Hasenweg, 74626 Bretzfeld-Bitzfeld</t>
  </si>
  <si>
    <t>02.08.2025</t>
  </si>
  <si>
    <t>Sportplatz 1, TSV Schwabbach, Hammelwiesen 1, 74626 Bretzfeld-Schwabbach</t>
  </si>
  <si>
    <t>35000932</t>
  </si>
  <si>
    <t>VfB Neuhütten</t>
  </si>
  <si>
    <t>SGM VfB Neuhütten/Wüstenrot/Neulautern (flex)</t>
  </si>
  <si>
    <t>Wüstenrot Waldsportplatz Kunstrasen, Sportgaststätte FV Wüstenrot, 71543 Wüstenrot</t>
  </si>
  <si>
    <t>35000441</t>
  </si>
  <si>
    <t>TSV Gaildorf</t>
  </si>
  <si>
    <t>TSV Gaildorf (flex)</t>
  </si>
  <si>
    <t>Spiele bitte wie gewohnt am Samstag</t>
  </si>
  <si>
    <t>Kunstrasenplatz Bleichwiese, Schloßstr. 11/1, 74405 Gaildorf</t>
  </si>
  <si>
    <t>35000239</t>
  </si>
  <si>
    <t>FC Creglingen</t>
  </si>
  <si>
    <t>A KS 4</t>
  </si>
  <si>
    <t>SGM FC Creglingen/Oberes Taubertal</t>
  </si>
  <si>
    <t>Sportplatz 1 FC Creglingen, Rothenburger Str., 97993 Creglingen-Zentrum</t>
  </si>
  <si>
    <t>35001231</t>
  </si>
  <si>
    <t>TSV Schrozberg</t>
  </si>
  <si>
    <t>SGM TSV Schrozberg / Gammesfeld / Bartenstein</t>
  </si>
  <si>
    <t>Kunstrasenplatz TSV Schrozberg, Stadionweg 9, 74575 Schrozberg</t>
  </si>
  <si>
    <t>35000042</t>
  </si>
  <si>
    <t>VfR Altenmünster</t>
  </si>
  <si>
    <t>SGM VfR Altenmünster/SV Onolzheim (flex)</t>
  </si>
  <si>
    <t>Samstags 15.30 Uhr.</t>
  </si>
  <si>
    <t>Sportplatz 1 VfR Altenmünster, Kirchstr., 74564 Crailsheim</t>
  </si>
  <si>
    <t>35001478</t>
  </si>
  <si>
    <t>TSV Weikersheim</t>
  </si>
  <si>
    <t>SGM Weikersheim Vorbach-Tauber</t>
  </si>
  <si>
    <t>Sportplatz 1 TSV Weikersheim, August-Laukhuff-Str., 97990 Weikersheim-Zentrum</t>
  </si>
  <si>
    <t>35000946</t>
  </si>
  <si>
    <t>TV Niederstetten</t>
  </si>
  <si>
    <t>TV Niederstetten (flex)</t>
  </si>
  <si>
    <t>11er Flexmannschaft</t>
  </si>
  <si>
    <t>Burgwiesenstadion, Kanalweg, 97996 Niederstetten-Zentrum</t>
  </si>
  <si>
    <t>35002225</t>
  </si>
  <si>
    <t>Aramäer Heilbronn</t>
  </si>
  <si>
    <t>Sehr geehrte Damen und Herrn,_x000D_
_x000D_
unser Wunsch der A Jugend Spieler wäre das unsere Spiele zwischen der Woche stand finden würden z.B. Montag – Freitag abend oder Sonntags Morgens früh , weil viele Samstags bei uns noch Nebenjobs  und noch viele auf die Samstag Schule gehen._x000D_
_x000D_
Wir bedanken uns im Voraus_x000D_
_x000D_
Jugendabteilungsleiter  Aramäer Heilbronn 1990 e.V._x000D_
Yasar Acar Tel. 01721443322</t>
  </si>
  <si>
    <t>Sontheim Schulrasenplatz, Max-von-Laue-Str. 1-3, 74081 Heilbronn-Sontheim</t>
  </si>
  <si>
    <t>35002099</t>
  </si>
  <si>
    <t>FSV Friedrichshaller SV 1898</t>
  </si>
  <si>
    <t>FSV Friedrichshaller SV</t>
  </si>
  <si>
    <t>Jagstfeld Kunstrasen, Hohe Straße , 74177 Bad Friedrichshall-Jagstfeld</t>
  </si>
  <si>
    <t>35000126</t>
  </si>
  <si>
    <t>SV Berlichingen</t>
  </si>
  <si>
    <t>SGM SV Berlichingen/Schöntal/Mittleres Kochertal</t>
  </si>
  <si>
    <t>Heimspiele bitte auf Sindringen und Berlichingen halb und halb aufteilen.</t>
  </si>
  <si>
    <t>Sportplatz 1 in Berlichingen, An der Jagstbrücke, 74214 Berlichingen</t>
  </si>
  <si>
    <t>SGM VfR Gommersdorf/Mittleres Jagsttal II (flex)</t>
  </si>
  <si>
    <t>Wenn möglich, die SGM 2 vor der 1. Mannschaft bei Heimspiele zu Hause spielen lassen._x000D_
_x000D_
Im Zeitraum 17. - 19.10.2025 ist Herbstmesse in Krautheim. Bitte wenn möglich die Spiele der A- &amp; B-Jugend auf Freitag Abend ansetzen.</t>
  </si>
  <si>
    <t>35002168</t>
  </si>
  <si>
    <t>TSG Heilbronn</t>
  </si>
  <si>
    <t>Wertwiesen (TSG) Rasen 1, Wertwiesen 8, 74081 Heilbronn-Sontheim</t>
  </si>
  <si>
    <t>35000709</t>
  </si>
  <si>
    <t>TSG Kirchberg/Jagst</t>
  </si>
  <si>
    <t>Sportplatz 1, Uferweg 20, 74592 Kirchberg an der Jagst</t>
  </si>
  <si>
    <t>B-Junioren</t>
  </si>
  <si>
    <t>B VS</t>
  </si>
  <si>
    <t>VfR Heilbronn 96/18 I</t>
  </si>
  <si>
    <t>B LaS</t>
  </si>
  <si>
    <t>SGM Union Heilbronn / TSN 1969 I</t>
  </si>
  <si>
    <t>VfR Heilbronn 96/18 II</t>
  </si>
  <si>
    <t>B RS</t>
  </si>
  <si>
    <t>SGM Bühlerzell/Bühlertann</t>
  </si>
  <si>
    <t>1) Sonntag 21. September 2025 bitte ein Auswärtsspiel !!! (VR-Cup ist hier in Bühlerzell)_x000D_
2) Einzelne Spiele finden auch in Bühlertann (Weinbergstadion) statt. Dies melde ich dann rechtzeitig vorher.</t>
  </si>
  <si>
    <t>35000332</t>
  </si>
  <si>
    <t>GSV Eibensbach</t>
  </si>
  <si>
    <t>SGM Eibensbach/Cleebronn/Botenheim/Stockheim I</t>
  </si>
  <si>
    <t>Eibensbach Rasen 1, Flügelaustraße 29, 74363 Eibensbach</t>
  </si>
  <si>
    <t>Im Zeitraum 17. - 19.10.2025 ist Herbstmesse in Krautheim. Bitte wenn möglich die Spiele der A- &amp; B-Jugend auf Freitag Abend ansetzen.</t>
  </si>
  <si>
    <t>Sportplatz 1 in Klepsau, Laibacher Str., 74238 Krautheim-Klepsau</t>
  </si>
  <si>
    <t>Spfr Neckarwestheim I</t>
  </si>
  <si>
    <t>B LS</t>
  </si>
  <si>
    <t>B LS 1</t>
  </si>
  <si>
    <t>FSV Friedrichshaller SV I</t>
  </si>
  <si>
    <t>SG Bad Wimpfen I</t>
  </si>
  <si>
    <t>Hauptspieltag bitte Sonntag,wegen Platzbelegungsgründen</t>
  </si>
  <si>
    <t>35000555</t>
  </si>
  <si>
    <t>TV Hausen/Zaber</t>
  </si>
  <si>
    <t>SGM Hausen Unteres Zabergäu I</t>
  </si>
  <si>
    <t>Gewünschter Spieltag ist Sonntag um 10:30 Uhr._x000D_
Begründung für den Spieltagswunsch ist, dass die Trainer noch als aktive Spieler tätig sind und sich der Spieltag am Freitag mit dem Training der Aktiven Mannschaft überschneiden würde.</t>
  </si>
  <si>
    <t>Nordhausen Rasen 1, Raiffeisenstr., 74226 Nordheim-Nordhausen</t>
  </si>
  <si>
    <t>35001000</t>
  </si>
  <si>
    <t>Spvgg Oedheim</t>
  </si>
  <si>
    <t>SGM Oedheim Kochertal I</t>
  </si>
  <si>
    <t>Pool A (Topf 1)_x000D_
_x000D_
B1 und B2 sollen nicht am gleichen Freitag ein Heimspiel haben</t>
  </si>
  <si>
    <t>35002162</t>
  </si>
  <si>
    <t>SG Stetten-Kleingartach</t>
  </si>
  <si>
    <t>SGM SG Stetten-Kleingartach/Oberes Leintal I</t>
  </si>
  <si>
    <t>Der Heimspieltag für die BI-Junioren bitte auf Sonntag um 10:30 Uhr einplanen._x000D_
Die Heimspiele der BI immer an anderen Sonntagen, wie die Heimspiele der BII-Junioren ansetzen.</t>
  </si>
  <si>
    <t>Stetten Rasen 1, Austr., 74193 Schwaigern-Stetten</t>
  </si>
  <si>
    <t>35000765</t>
  </si>
  <si>
    <t>Spfr Lauffen</t>
  </si>
  <si>
    <t>SGM Spfr. Lauffen Neckar/Zabergäu</t>
  </si>
  <si>
    <t>Vorrunde in Meimsheim und Rückrunde in Lauffen, zusätzlich immer der Kunstrasen als Ersatzspielfeld</t>
  </si>
  <si>
    <t>15.11.2025</t>
  </si>
  <si>
    <t>Brackenheim Wiesental Kunstrasen, Im Wiesental, 74336 Brackenheim-Zentrum</t>
  </si>
  <si>
    <t>15.03.2026</t>
  </si>
  <si>
    <t>35000110</t>
  </si>
  <si>
    <t>TGV Eintracht Beilstein</t>
  </si>
  <si>
    <t>SGM TGV Eintracht Beilstein/Abstatt/Ilsfeld/Heinriet ABI</t>
  </si>
  <si>
    <t>Unterheinriet Rasen 1, Oberheinrieter Str., 74199 Untergruppenbach-Unterheinriet</t>
  </si>
  <si>
    <t>SV Heilbronn am Leinbach I</t>
  </si>
  <si>
    <t>Wir können nicht unter der Woche spielen aus Kapazitätsgründen. Wir möchten bitte daher am WE spielen. DANKE</t>
  </si>
  <si>
    <t>Frankenbach Kunstrasen, Riedweg 52, 74078 Heilbronn-Frankenbach</t>
  </si>
  <si>
    <t>Bitte die Spiele für unsere Mannschaft auf Sonntag ansetzen</t>
  </si>
  <si>
    <t>SV Schluchtern U17</t>
  </si>
  <si>
    <t>Spieltag: Freitag</t>
  </si>
  <si>
    <t>Schluchtern Rasen 1 (West), Breitwiesen 1 (an der B 293), 74211 Leingarten-Schluchtern</t>
  </si>
  <si>
    <t>35000659</t>
  </si>
  <si>
    <t>1. FC Igersheim</t>
  </si>
  <si>
    <t>B LS 2</t>
  </si>
  <si>
    <t>Bitte die Heimspiele auf Sonntag um 10:30 Uhr ansetzen. Danke</t>
  </si>
  <si>
    <t>35000760</t>
  </si>
  <si>
    <t>FC Langenburg</t>
  </si>
  <si>
    <t>SGM FC Langenburg/Blaufelden/Braunsbach/Dünsbach I</t>
  </si>
  <si>
    <t>Die Heimspiele bitte Sonntags ansetzen_x000D_
Die Mannschaft bitte Topf 1 zuordnen</t>
  </si>
  <si>
    <t>Sportplatz 1 FC Langenburg, Seestr. 72, 74595 Langenburg</t>
  </si>
  <si>
    <t>35001506</t>
  </si>
  <si>
    <t>SV Westernhausen</t>
  </si>
  <si>
    <t>SGM SV Westernhausen/ Schöntal</t>
  </si>
  <si>
    <t>Sportplatz 1 Westernhausen, Brückenstr., 74214 Schöntal-Westernhausen</t>
  </si>
  <si>
    <t>35000671</t>
  </si>
  <si>
    <t>TSV Ingelfingen</t>
  </si>
  <si>
    <t>SGM TSV Ingelfingen/Gaisbach/Kupferzell</t>
  </si>
  <si>
    <t>Rasenplatz SSV Gaisbach, Ballenwasen 4, 74653 Künzelsau-Gaisbach</t>
  </si>
  <si>
    <t>35001044</t>
  </si>
  <si>
    <t>TSV Pfedelbach</t>
  </si>
  <si>
    <t>SGM TSV Pfedelbach/Jugendteam TSV I</t>
  </si>
  <si>
    <t>Wunschspieltag Sonntag</t>
  </si>
  <si>
    <t>Kunstrasenplatz TSV Pfedelbach, Weststr. 30, 74629 Pfedelbach</t>
  </si>
  <si>
    <t>13.06.2025</t>
  </si>
  <si>
    <t>Sportplatz TSV Pfedelbach , Hohenlohe Allee 9, 74629 Pfedelbach-Zentrum</t>
  </si>
  <si>
    <t>12.12.2025</t>
  </si>
  <si>
    <t>35000822</t>
  </si>
  <si>
    <t>VfL Mainhardt</t>
  </si>
  <si>
    <t>SGM VfL Mainhardt/Juniorteam MMB I</t>
  </si>
  <si>
    <t>Sportplatz 1 an Steinbühlhalle, Steinbühl, 74535 Mainhardt</t>
  </si>
  <si>
    <t>SGM VfR Altenmünster/SV Onolzheim</t>
  </si>
  <si>
    <t>Sonntags 10.30 Uhr</t>
  </si>
  <si>
    <t>35001376</t>
  </si>
  <si>
    <t>SV Tüngental</t>
  </si>
  <si>
    <t>Sportplatz 1 SV Tüngental, Ramsbacher Str., 74523 Schwäbisch Hall-Tüngental</t>
  </si>
  <si>
    <t>Da unser Trainer am zweiten Spieltag (26.09) Geburtstag hat und mit seiner Familie ein Ausflug über das Wochenende geplant hat, bitten wir dieses Spiel ggf an einem anderen Tag unter der Woche anzusetzen. Für eine Umsetzung wären wir dankbar._x000D_
_x000D_
Spiele die am Sonntag stattfinden sollten im Stadion ausgerichtet werden, bzw solange es die Lichtsituation zulässt ebenfalls. Alle anderen Freitagsspiele sind dann auf dem Nebenplatz auszurichten._x000D_
_x000D_
Der Freitag stellt uns bezüglich der Plätze vor Herausforderungen, jedoch macht der Sonntag dann keinen Sinn wenn die Einteilung der Schiedsrichter nicht gesichert ist._x000D_
_x000D_
Deshalb sollte der Heimspieltag für Heimspiele der Freitag sein.</t>
  </si>
  <si>
    <t>Deutsch-Orden-Stadion, Arkau 3, 97980 Bad Mergentheim</t>
  </si>
  <si>
    <t>13.07.2025</t>
  </si>
  <si>
    <t>Nebenplatz am Stadion, Arkau 3, 97980 Bad Mergentheim</t>
  </si>
  <si>
    <t>B KS</t>
  </si>
  <si>
    <t>B KS 1</t>
  </si>
  <si>
    <t>SG Bad Wimpfen II</t>
  </si>
  <si>
    <t>Hauptspieltag bitte Sonntags,wegen Platzbelegungsgründen</t>
  </si>
  <si>
    <t>SGM Ellhofen Sulmtal</t>
  </si>
  <si>
    <t>Spieltag bitte Freitag, wie vorgesehen dass Schiedsrichter eingeteilt werden können</t>
  </si>
  <si>
    <t>Löwenstein Rasen 1, Seemühle, 74245 Löwenstein-Seemühle</t>
  </si>
  <si>
    <t>35000921</t>
  </si>
  <si>
    <t>TSV Neudenau</t>
  </si>
  <si>
    <t>SGM TSV Neudenau Unteres Jagsttal I</t>
  </si>
  <si>
    <t>1. Mannschaft bitte in Pool A auf sonntags 10:30 ansetzen</t>
  </si>
  <si>
    <t>Siglingen Rasen 1, Züttlinger Str., 74861 Neudenau-Siglingen</t>
  </si>
  <si>
    <t>35000311</t>
  </si>
  <si>
    <t>VfL Eberstadt</t>
  </si>
  <si>
    <t>SGM VfL Eberstadt EbErG</t>
  </si>
  <si>
    <t>Eberstadt Rasen 1, Am Schmalbach, 74246 Eberstadt</t>
  </si>
  <si>
    <t>Spfr Neckarwestheim II</t>
  </si>
  <si>
    <t>1)   B2 - Heimspiele bitte unbedingt Freitags_x000D_
_x000D_
2) B2 bitte in Topf 1._x000D_
Begründung: B1 spielt Regionenstaffel und B2 möchte im leistungsstarken Topf spielen und sich für die Leistungsstaffel qualifzieren.</t>
  </si>
  <si>
    <t>Alle Heimspiele Sonntags</t>
  </si>
  <si>
    <t>Weinsberg Rasen 1, Rappenhofweg, 74189 Weinsberg-Zentrum</t>
  </si>
  <si>
    <t>Rückzug aus Regionenstaffel nach Hinrunde_x000D_
_x000D_
In der Rückrunde spielt die Mannschaft in der Kreisstaffel - Spieltag Freitag</t>
  </si>
  <si>
    <t>35000967</t>
  </si>
  <si>
    <t>VfL Obereisesheim</t>
  </si>
  <si>
    <t>Obereisesheim Rasen 1, Eberwinstr. 26, 74172 Neckarsulm-Obereisesheim</t>
  </si>
  <si>
    <t>B KS 2</t>
  </si>
  <si>
    <t>FSV Friedrichshaller SV II</t>
  </si>
  <si>
    <t>SGM Eibensbach/Cleebronn/Botenheim/Stockheim II</t>
  </si>
  <si>
    <t>35001762</t>
  </si>
  <si>
    <t>FC Obersulm</t>
  </si>
  <si>
    <t>SGM Obersulm (flex)</t>
  </si>
  <si>
    <t>Es wird eine FLEX-Mannschaft gemeldet._x000D_
Heimspiele bitte am Freitag Abend.</t>
  </si>
  <si>
    <t>Affaltrach Rasen, Michelbachstr., 74182 Obersulm-Affaltrach</t>
  </si>
  <si>
    <t>SGM Oedheim Kochertal II (flex)</t>
  </si>
  <si>
    <t>Pool B (Topf 2) _x000D_
Flex_x000D_
B1 und B2 sollen nicht am gleichen Freitag ein Heimspiel haben</t>
  </si>
  <si>
    <t>Kochertürn Rasen, In den Mühlgärten 9, 74196 Neuenstadt am Kocher-Kochertürn</t>
  </si>
  <si>
    <t>17.07.2025</t>
  </si>
  <si>
    <t>Dahenfeld Kunstrasen, Erlenbacher Str., 74172 Neckarsulm-Dahenfeld</t>
  </si>
  <si>
    <t>SGM SG Stetten-Kleingartach/Oberes Leintal II (flex)</t>
  </si>
  <si>
    <t>Den Heimspieltag der BII-Junioren bitte auf Sonntag früh um 10:30 Uhr ansetzen._x000D_
Heimspiele der BII nicht am gleichen Sonntag wie die Heimspiele der BI-Junioren ansetzen._x000D_
_x000D_
Die BII bitte als "Flex-Mannschaft" einplanen.</t>
  </si>
  <si>
    <t>SGM TSV Neudenau Unteres Jagsttal II (flex)</t>
  </si>
  <si>
    <t>Ansetzung in Pool B ,freitags 19:00 Uhr.</t>
  </si>
  <si>
    <t>B-Jugend Spiele Bitte nur Sonntag Vormittag 10:30 Uhr So war im Bezirk immer die Spielzeit. _x000D_
Freitag Abend haben wir keine Platzkapazität für B-Jugend Heimspiele !! Bitte beachten._x000D_
_x000D_
Bitte alle SSV Auenstein Jugendmannschaften in den Topf 2 eintragen. Von E-Jugend bis A-Jugend. Bitte alle ohne Leistungsorientierung.</t>
  </si>
  <si>
    <t>SV Heilbronn am Leinbach II (flex)</t>
  </si>
  <si>
    <t>Änderung zur Rückrunde: Umstellung auf flex_x000D_
_x000D_
Bitte nur Spiele am WE ansetzen. Spiele unter der Woche aus Kapazitätsgründen nicht möglich. DANKE</t>
  </si>
  <si>
    <t>Neckargartach Rasen 1, Böllinger Str. 40, 74078 Heilbronn-Neckargartach</t>
  </si>
  <si>
    <t>29.06.2025</t>
  </si>
  <si>
    <t>35001347</t>
  </si>
  <si>
    <t>TSV Talheim (Franken)</t>
  </si>
  <si>
    <t>TSV Talheim (flex)</t>
  </si>
  <si>
    <t>Wunschtermin für Heimspiele ist Sonntag. Allerdings sollte aktive Mannschaft am gleichen Tag nicht zu Hause spielen. _x000D_
Sonst Freitag als Ausweichtermin</t>
  </si>
  <si>
    <t>Talheim Rasen, Sontheimer Str., 74388 Talheim-Zentrum</t>
  </si>
  <si>
    <t>B KS 3</t>
  </si>
  <si>
    <t>Kunstrasenplatz SC Michelbach/Wald, Keltergasse, 74613 Öhringen-Michelbach</t>
  </si>
  <si>
    <t>SGM FC Langenburg/Blaufelden/Braunsbach/Dünsbach II</t>
  </si>
  <si>
    <t>Heimspiele bitte Sonntags_x000D_
Die Mannschaft  bitte Topf 2 / schwach zuordnen</t>
  </si>
  <si>
    <t>35000508</t>
  </si>
  <si>
    <t>SV Gründelh.-Oberspeltach</t>
  </si>
  <si>
    <t>SGM Gründelhardt-Oberspeltach/Honhardt/Obersontheim/Vellberg</t>
  </si>
  <si>
    <t>Hallo, liebe Staffelleitung,_x000D_
_x000D_
Aufgrund des Fränkischen Volksfests in Crailsheim (19.-21.09) würden wir drum bitten dort keine Spiele für uns anzusetzen. Möglicher Ausweichtermin für ein potenzielles B Jugend Spiel am 19.09 wäre zb der 17.09. _x000D_
_x000D_
Wir würden gerne den Sonntag als unseren bevorzugten Spieltag für die B-Jugend festlegen._x000D_
Wir haben mitbekommen, dass es im Crailsheimer Raum Mannschaften gibt, die Freitagsspiele bevorzugen. Falls es möglich wäre, würden wir deshalb gerne anregen, über eine Art “Tauschlösung” nachzudenken:_x000D_
Wenn es dort eine Mannschaft gibt, die lieber freitags spielt, könnte sie eventuell in unseren Kreis wechseln – und wir im Gegenzug in den näher gelegenen Raum Crailsheim, wo laut unserer Information eher sonntags gespielt wird._x000D_
Das wäre vermutlich auch wegtechnisch gut machbar und würde allen Beteiligten entgegenkommen._x000D_
Vielen Dank für eure Unterstützung und sportliche Grüße</t>
  </si>
  <si>
    <t>Sportplatz 1 SV Gründelhardt, Gaildorfer Str. 7, 74586 Frankenhardt-Gründelhardt</t>
  </si>
  <si>
    <t>30.10.2025</t>
  </si>
  <si>
    <t>Kunstrasenplatz TSV Obersontheim, Hagenbusch, 74423 Obersontheim</t>
  </si>
  <si>
    <t>35000445</t>
  </si>
  <si>
    <t>Spvgg Gammesfeld</t>
  </si>
  <si>
    <t>SGM SpVgg Gammesfeld/Schrozberg/Bartenstein</t>
  </si>
  <si>
    <t>Alle Spieltage würden wir gerne auf Freitag Abend verlegen.</t>
  </si>
  <si>
    <t>Landwehrstadion, Freie-Weg, 74572 Blaufelden-Gammesfeld</t>
  </si>
  <si>
    <t>35000674</t>
  </si>
  <si>
    <t>SV Ingersheim</t>
  </si>
  <si>
    <t>SGM SV Ingersheim/SSV Stimpfach</t>
  </si>
  <si>
    <t>Sportplatz 1 SSV Stimpfach, Heribert-Unfried-Str., 74597 Stimpfach</t>
  </si>
  <si>
    <t>Sportplatz 1, SV Ingersheim, Oberes Lehen 4, 74564 Crailsheim</t>
  </si>
  <si>
    <t>35001510</t>
  </si>
  <si>
    <t>SV Westheim</t>
  </si>
  <si>
    <t>SGM SV Westheim / TSV Michelbach-Bilz / SV Rieden</t>
  </si>
  <si>
    <t>Heimspiele am Freitag, ggf. weiterer Klärungsbedarf nach Zusendung der Spielpläne</t>
  </si>
  <si>
    <t>Sportplatz 1 Westheim, Flurstr., 74538 Rosengarten-Westheim</t>
  </si>
  <si>
    <t>21.07.2025</t>
  </si>
  <si>
    <t>Sportplatz 1 SV Rieden, Ziegelberg 40, 74538 Rosengarten-Rieden</t>
  </si>
  <si>
    <t>04.08.2025</t>
  </si>
  <si>
    <t>Sportplatz 1 TSV Michelbach/Bilz, Hagenhofweg, 74544 Michelbach an der Bilz</t>
  </si>
  <si>
    <t>35000924</t>
  </si>
  <si>
    <t>TSV Neuenstein</t>
  </si>
  <si>
    <t>SGM TSV Neuenstein/Waldenburg</t>
  </si>
  <si>
    <t>Sportplatz 1 TSV Neuenstein, Öhringer Str., 74632 Neuenstein-Zentrum</t>
  </si>
  <si>
    <t>35000944</t>
  </si>
  <si>
    <t>TSV Niedernhall</t>
  </si>
  <si>
    <t>SGM TSV Niedernhall I / Kickers Mittleres Kochertal</t>
  </si>
  <si>
    <t>Sportplatz Niedernhall, Brückenwiesenweg, 74676 Niedernhall</t>
  </si>
  <si>
    <t>Sportplatz Weissbach, Lindenstr., 74679 Weißbach-Zentrum</t>
  </si>
  <si>
    <t>Spieltag Freitag 19:00 Uhr</t>
  </si>
  <si>
    <t>35002159</t>
  </si>
  <si>
    <t>FV Künzelsau</t>
  </si>
  <si>
    <t>B KS 4</t>
  </si>
  <si>
    <t>SGM FV Künzelsau/SV Morsbach/SC Amrichshausen (flex)</t>
  </si>
  <si>
    <t>Kunstrasenplatz FV Künzelsau, Hallstattweg 36, 74653 Künzelsau-Zentrum</t>
  </si>
  <si>
    <t>35000210</t>
  </si>
  <si>
    <t>TSV Brettach</t>
  </si>
  <si>
    <t>SGM TSV Brettach KoBra (flex)</t>
  </si>
  <si>
    <t>Bitte am Wochenende 26.-28.9.25 keine Spielansetzung_x000D_
Grund: Brettacher Markt, hier sind Spieler und Trainer auf unserem Jugendstand im Einsatz_x000D_
außerdem ist das Sportgelände an diesem Wochenende sehr schwer zu erreichen_x000D_
Hinweis: wir werden die Qualirunde generell mit einer FLEX Mannschaft spielen_x000D_
Unsere Heimspiele bitte generell auf Freitag legen. Spielbeginn bitte nicht vor 19.15 Uhr</t>
  </si>
  <si>
    <t>Brettach Rasen 1, Cleversulzbacher Str., 74243 Langenbrettach-Brettach</t>
  </si>
  <si>
    <t>SGM TSV Niedernhall II / Kickers Mittleres Kochertal (flex)</t>
  </si>
  <si>
    <t>SGM TSV Niedernhall / Kickers Mittleres Kochertal II, als FLEX Mannschaft</t>
  </si>
  <si>
    <t>35001020</t>
  </si>
  <si>
    <t>TSV Ohrnberg</t>
  </si>
  <si>
    <t>SGM TSV Ohrnberg / Zweiflingen</t>
  </si>
  <si>
    <t>Kochertalstadion Ohrnberg, Seehäldenweg 12, 74613 Ohrnberg-Ohrnberg</t>
  </si>
  <si>
    <t>SGM TSV Pfedelbach/Jugendteam TSV II (flex)</t>
  </si>
  <si>
    <t>Wunschspieltag Sonntag,_x000D_
Wir bitten auch die B2 in den Topf 1 einzuteilen. Die komplette B-Jugend des vergangen Jahres bleibt und nahezu die gesamte C1 (2. Regionenstaffel) kommt in die B-Jugend. Somit stehen uns 22 nahezu gleichwertige B-Jugendspieler zu Verfügung. Des weiteren werden wir die Rückversetzung unserer 4 Spieler die A-Jugend wären beantragen und erhöhen somit weiter die Qualität.</t>
  </si>
  <si>
    <t>Änderung zur Rückrunde: für unsere B-Jugend der SGM Neuhütten/Wüstenrot/Neulautern würden wir gerne noch den Ansetzungswunsch von Freitag auf Sonntag abändern, auch wenn wir dann selber Schiedsrichter für diese Spiele stellen müssten._x000D_
_x000D_
Der Wunschspieltag unserer Mannschaft ist Freitag_x000D_
Bitte in Topf 2 einteilen. Der Kader ist relativ klein und das starke Leistungsgefälle innerhalb der Mannschaft gibt es nicht her im Topf 1 zu spielen.</t>
  </si>
  <si>
    <t>B KS 5</t>
  </si>
  <si>
    <t>SGM FC Creglingen/Bieberehren/Röttingen/Taubertal (flex)</t>
  </si>
  <si>
    <t>35001441</t>
  </si>
  <si>
    <t>SV Wachbach</t>
  </si>
  <si>
    <t>SGM SV Wachbach/TSV Althausen-Neunkirchen (flex)</t>
  </si>
  <si>
    <t>Gewünschter Spieltag Donnerstag, 1. Heimspiel in Wachbach, 2. Heimspiel in Neunkirchen._x000D_
Bitte als Flex-Mannschaft melden._x000D_
Danke</t>
  </si>
  <si>
    <t>Sportpark im Erpfental, Erpfentalstr. 6, 97980 Bad Mergentheim-Wachbach</t>
  </si>
  <si>
    <t>SGM Weikersheim Vorbach-Tauber (flex)</t>
  </si>
  <si>
    <t>Sportplatz 1 TSV Laudenbach, Seewiese 2, 97990 Laudenbach</t>
  </si>
  <si>
    <t>B KS 6</t>
  </si>
  <si>
    <t>35000838</t>
  </si>
  <si>
    <t>FC Matzenbach</t>
  </si>
  <si>
    <t>SGM FC Matzenbach/TSV Unterdeufstetten (flex)</t>
  </si>
  <si>
    <t>Bitte als Flex Mannschaft melden</t>
  </si>
  <si>
    <t>Sportplatz 1 am Sportzentrum, Sportzentrum 2, 74579 Fichtenau-Matzenbach</t>
  </si>
  <si>
    <t>35001032</t>
  </si>
  <si>
    <t>FC Ottendorf</t>
  </si>
  <si>
    <t>SGM Ottendorf / Eutendorf / SG Rottal</t>
  </si>
  <si>
    <t>Spieltag Freitag Abend</t>
  </si>
  <si>
    <t>Sportplatz 1, FC Ottendorf, An der B 19, 74405 Ottendorf</t>
  </si>
  <si>
    <t>35000599</t>
  </si>
  <si>
    <t>TSV Hessental</t>
  </si>
  <si>
    <t>SGM TSV Hessental/TSV Sulzdorf</t>
  </si>
  <si>
    <t>SGM VfL Mainhardt/Juniorteam MMB II</t>
  </si>
  <si>
    <t>35001508</t>
  </si>
  <si>
    <t>SV Westgartshausen</t>
  </si>
  <si>
    <t>SGM Westgartshausen/ Tiefenbach/Kressberg/Goldbach/Satteldorf</t>
  </si>
  <si>
    <t>Sportplatz 1 SV Westgartshausen, Unteres Weiler, 74564 Crailsheim-Westgartshausen</t>
  </si>
  <si>
    <t>Sportplatz 1 SV Tiefenbach, Eulenbergweg 29, 74564 Crailsheim-Tiefenbach</t>
  </si>
  <si>
    <t>TSV Ilshofen (flex)</t>
  </si>
  <si>
    <t>Amorbach Rasen 1, Schwabenweg 25, 74172 Neckarsulm-Amorbach</t>
  </si>
  <si>
    <t>SGM Hausen Unteres Zabergäu II (flex)</t>
  </si>
  <si>
    <t>Der gewünschte Spieltag ist der Freitag um 19:00 Uhr._x000D_
_x000D_
Die Mannschaft soll als "flex" Mannschaft gemeldet werden.</t>
  </si>
  <si>
    <t>SGM TSV Schwabbach/Brettachtal (flex)</t>
  </si>
  <si>
    <t>Der Hauptspieltag soll bitte der Freitag Abend sein. Bei der Spielstätte habe ich nur TSV Schwabbach angegeben. Die Heimspiele werden aber vorraussichtlich in Scheppach und/oder Unterheimbach stattfinden, dies konnte ich nicht angeben (da diese nicht in der SGM dabei sind vermutlich). Können wir dass dann noch nach erstellung des Planes final klären?</t>
  </si>
  <si>
    <t>SGM Union Heilbronn / TSN 1969 II</t>
  </si>
  <si>
    <t>Bitte als Flex-Mannschaft anmelden._x000D_
_x000D_
- Anstoßzeiten bitte berücksichtigen, da ansonsten Probleme bei der Platzbelegung:_x000D_
_x000D_
Anstoßzeiten_x000D_
- 11:15 Uhr B-Jugend_x000D_
- 13:30 Uhr B-Jugend_x000D_
- 18:00 Uhr B-Jugend_x000D_
- 19:30 Uhr B-Jugend</t>
  </si>
  <si>
    <t>Spiele (insbesondere Heimspiele bitte wie gewohnt am Sonntag) _x000D_
Auf Grund der Platzbelegung, durch mehrere Stadtvereine am Freitag, werden wir hier große Probleme haben die Spiele auszutragen.</t>
  </si>
  <si>
    <t>C-Junioren</t>
  </si>
  <si>
    <t>Oberliga Baden-Württemberg</t>
  </si>
  <si>
    <t>C OL</t>
  </si>
  <si>
    <t>FSV Hollenbach I (U15)</t>
  </si>
  <si>
    <t>C VS</t>
  </si>
  <si>
    <t>Samstags Bitte immer 15 Uhr und keine Kolliosion zur Herrenmannschaft Verbandsliga</t>
  </si>
  <si>
    <t>35000223</t>
  </si>
  <si>
    <t>SC Bühlertann</t>
  </si>
  <si>
    <t>C LaS</t>
  </si>
  <si>
    <t>SGM Bühlertann/Bühlerzell I</t>
  </si>
  <si>
    <t>SGM Bühlertann/Bühlerzell 1 Vorrunde : Bühlerzell , Rückrunde Bühlertann_x000D_
bitte am 20.09. ein Auswärtsspiel, da Mädchencup in Bühlerzell</t>
  </si>
  <si>
    <t>Weinbergstadion Bühlertann, Weinbergstr. 10, 74424 Bühlertann</t>
  </si>
  <si>
    <t>Spfr Schwäbisch Hall I</t>
  </si>
  <si>
    <t>Spielbeginn bei Heimspielen bitte 16.00 Uhr, um etwaige Überschneidung mit Herrenspielen um 14.00 Uhr zu vermeiden.</t>
  </si>
  <si>
    <t>35000204</t>
  </si>
  <si>
    <t>TSV Botenheim</t>
  </si>
  <si>
    <t>C RS</t>
  </si>
  <si>
    <t>SGM Botenheim/Cleebronn/Eibensbach/Stockheim I</t>
  </si>
  <si>
    <t>SGM FSV Hollenbach II/Mittleres Jagsttal</t>
  </si>
  <si>
    <t>35000148</t>
  </si>
  <si>
    <t>SC Bibersfeld</t>
  </si>
  <si>
    <t>SGM SC Bibersfeld/Juniorteam MMB</t>
  </si>
  <si>
    <t>Sportplatz 1 Bibersfeld, Luckenbacher Str. 42, 74523 Schwäbisch Hall-Bibersfeld</t>
  </si>
  <si>
    <t>35000443</t>
  </si>
  <si>
    <t>SSV Gaisbach</t>
  </si>
  <si>
    <t>SGM SSV Gaisbach/Kupferzell/Ingelfingen I</t>
  </si>
  <si>
    <t>Bitte C bis E-Jugend am selben Tag zu Hause wegen Heimspielverkauf und Platzaufbau_x000D_
_x000D_
C-Jugend Beginn 14:15 Uhr</t>
  </si>
  <si>
    <t>Sport-Union Neckarsulm I</t>
  </si>
  <si>
    <t>SpVgg Satteldorf I</t>
  </si>
  <si>
    <t>C LS</t>
  </si>
  <si>
    <t>C LS 1</t>
  </si>
  <si>
    <t>SC Amorbach I</t>
  </si>
  <si>
    <t>35000243</t>
  </si>
  <si>
    <t>SC Dahenfeld</t>
  </si>
  <si>
    <t>SGM Dahenfeld/Oedheim I</t>
  </si>
  <si>
    <t>Dahenfeld Rasen, Erlenbacher Str., 74172 Neckarsulm-Dahenfeld</t>
  </si>
  <si>
    <t>35001763</t>
  </si>
  <si>
    <t>FSV Schwaigern</t>
  </si>
  <si>
    <t>SGM FSV Schwaigern/Oberes Leintal I</t>
  </si>
  <si>
    <t>Jay-Cool Stadion, Falltorstr. 10, 74193 Schwaigern</t>
  </si>
  <si>
    <t>35000667</t>
  </si>
  <si>
    <t>SC Ilsfeld</t>
  </si>
  <si>
    <t>SGM SC Ilsfeld/Abstatt/Beilstein/Heinriet ABI I</t>
  </si>
  <si>
    <t>Am 04.10.2025 kann das Trainerteam nicht. Bitte an diesem Tag kein Spiel der ABI-C-Junioren</t>
  </si>
  <si>
    <t>03.07.2025</t>
  </si>
  <si>
    <t>35000865</t>
  </si>
  <si>
    <t>Spvgg Möckmühl</t>
  </si>
  <si>
    <t>SGM Spvgg Möckmühl Unteres Jagsttal I</t>
  </si>
  <si>
    <t>Möckmühl Rasen 1, Züttlinger Str. 1, 74219 Möckmühl</t>
  </si>
  <si>
    <t>35001359</t>
  </si>
  <si>
    <t>Spfr Tiefenbach</t>
  </si>
  <si>
    <t>SGM Tiefenbach H-U-T-H</t>
  </si>
  <si>
    <t>02.03.2026</t>
  </si>
  <si>
    <t>Tiefenbach Rasen, Höchstberger Str., 74831 Gundelsheim-Tiefenbach</t>
  </si>
  <si>
    <t>SGM TSV Meimsheim Zabergäu</t>
  </si>
  <si>
    <t>Samstag 15:00 Uhr</t>
  </si>
  <si>
    <t>Bitte in Topf 1 einteilen._x000D_
Begründung: Die C-Jugend 1. Mannschaft spielt Landesliga._x000D_
_x000D_
- Anstoßzeiten bitte berücksichtigen, da ansonsten Probleme bei der Platzbelegung:_x000D_
_x000D_
Anstoßzeiten_x000D_
- 14:00 Uhr C-Jugend - zur Rückrunde wird 15:00 Uhr gewünscht</t>
  </si>
  <si>
    <t>35001520</t>
  </si>
  <si>
    <t>TSV Willsbach</t>
  </si>
  <si>
    <t>SGM Willsbach I</t>
  </si>
  <si>
    <t>Willsbach Rasen, Bahnhoffußweg 21, 74182 Obersulm-Willsbach</t>
  </si>
  <si>
    <t>C LS 2</t>
  </si>
  <si>
    <t>35000992</t>
  </si>
  <si>
    <t>TSV Obersontheim</t>
  </si>
  <si>
    <t>SGM Obersontheim/Vellberg/Gründelhardt/Honhardt I</t>
  </si>
  <si>
    <t>Bitte am Crailsheimer Volksfest 20.09.2025 kein Spiel ansetzen da alle Jugendlichen da hin möchten und die Vereine keine Spielverlegung zustimmen</t>
  </si>
  <si>
    <t>Sportplatz 1, FC Honhardt, Ostweg, 74586 Frankenhardt-Honhardt</t>
  </si>
  <si>
    <t>35001454</t>
  </si>
  <si>
    <t>TSG Waldenburg</t>
  </si>
  <si>
    <t>SGM TSG Waldenburg/TSV Neuenstein I</t>
  </si>
  <si>
    <t>Samstag 11:30 Uhr</t>
  </si>
  <si>
    <t>Änderung für Rückrunde: Spielbeginn C1 um 11:30 Uhr_x000D_
_x000D_
Bitte C1 um 12:00 ansetzen und die C2 um 14:00 oder 14:30 Uhr ansetzen!_x000D_
Danke!</t>
  </si>
  <si>
    <t>Sportplatz 1 TSG Waldenburg, Siercker Str. 9, 74638 Waldenburg</t>
  </si>
  <si>
    <t>35000170</t>
  </si>
  <si>
    <t>TSV Bitzfeld</t>
  </si>
  <si>
    <t>SGM TSV Bitzfeld/Brettachtal I</t>
  </si>
  <si>
    <t>35000854</t>
  </si>
  <si>
    <t>TSV Michelbach/Bilz</t>
  </si>
  <si>
    <t>SGM TSV Michelbach/Bilz/SV Westheim/SV Rieden I</t>
  </si>
  <si>
    <t>Heimspiele C1 + C2 hintereinander</t>
  </si>
  <si>
    <t>Wir würden gerne die Heimspiele mit beiden Mannschaften hintereinander in Michelbach spielen.</t>
  </si>
  <si>
    <t>SGM TSV Sulzdorf/TSV Hessental I</t>
  </si>
  <si>
    <t>35001492</t>
  </si>
  <si>
    <t>TSV Weißbach</t>
  </si>
  <si>
    <t>SGM TSV Weißbach I / Kickers Mittleres Kochertal</t>
  </si>
  <si>
    <t>Spfr Schwäbisch Hall II</t>
  </si>
  <si>
    <t>Samstag 12:15 Uhr</t>
  </si>
  <si>
    <t>Heimspiele bitte 12.15 Uhr, um vor etwaigem Herrenspiel um 14.00 Uhr sicher fertig zu sein.</t>
  </si>
  <si>
    <t>Spiele ohne Flutlicht (Samstags) im Stadion alle mit Flutlicht auf dem Nebenplatz</t>
  </si>
  <si>
    <t>C KS</t>
  </si>
  <si>
    <t>C KS 1</t>
  </si>
  <si>
    <t>35000578</t>
  </si>
  <si>
    <t>TSV Heinsheim</t>
  </si>
  <si>
    <t>SGM Heinsheim/Sommerberg</t>
  </si>
  <si>
    <t>Heinsheim Rasen, Neckarstr. 1, 74906 Bad Rappenau-Heinsheim</t>
  </si>
  <si>
    <t>35000799</t>
  </si>
  <si>
    <t>TSV Löwenstein</t>
  </si>
  <si>
    <t>SGM Löwenstein Sulmtal</t>
  </si>
  <si>
    <t>Zuteilung bitte in "Topf 2"</t>
  </si>
  <si>
    <t>bitte um spielfrei am Wochenende 27.+28.09.25, Grund: Brettacher Markt, Trainer und Spieler sind am Jugendstand eingeteilt_x000D_
Einteilung Topf 1</t>
  </si>
  <si>
    <t>Lauffen Rasen 2, Am Forchenwald, 74348 Lauffen am Neckar</t>
  </si>
  <si>
    <t>SV Heilbronn am Leinbach II</t>
  </si>
  <si>
    <t>VfR Heilbronn 96/18 III</t>
  </si>
  <si>
    <t>C KS 2</t>
  </si>
  <si>
    <t>SGM Auenstein/Untergruppenbach</t>
  </si>
  <si>
    <t>Spiele der C-Jugend Bitte nur am Samstag Nachmittag_x000D_
Bitte die Spiele in der  Vorrunde in Untergruppenbach ansetzen, die Rückrunde in Auenstein _x000D_
_x000D_
Bitte die Heimspiele wenn möglich gemeinsam mit den anderen Jugendmannschaften. So können wir einen schönen Heimspieltag mit allen Jugenden inkl. Bewirtung organisieren, wäre schön wenn das möglich wäre!!_x000D_
_x000D_
Bitte alle SSV Auenstein Jugendmannschaften in den Topf 2 eintragen. Von E-Jugend bis A-Jugend. Bitte alle ohne Leistungsorientierung.</t>
  </si>
  <si>
    <t>01.03.2026</t>
  </si>
  <si>
    <t>35000370</t>
  </si>
  <si>
    <t>TSV Erlenbach</t>
  </si>
  <si>
    <t>SGM TSV Erlenbach EbErG I</t>
  </si>
  <si>
    <t>Erlenbach Kunstrasen, Talstr. 21, 74235 Erlenbach-Zentrum</t>
  </si>
  <si>
    <t>Sport-Union Neckarsulm II</t>
  </si>
  <si>
    <t>Neckarsulm Pichterich Rasen 2, Pichterichstr. 71, 74172 Neckarsulm-Zentrum</t>
  </si>
  <si>
    <t>SV Heilbronn am Leinbach III</t>
  </si>
  <si>
    <t>TSG Heilbronn I</t>
  </si>
  <si>
    <t>Heimspiele C1+ C2 nicht am gleichen Tag</t>
  </si>
  <si>
    <t>C1 Heim, dann C2 auswärts und umgekehrt</t>
  </si>
  <si>
    <t>C KS 3</t>
  </si>
  <si>
    <t>SGM Botenheim/Cleebronn/Eibensbach/Stockheim II (flex)</t>
  </si>
  <si>
    <t>Cleebronn Rasen 2, Schützenstr., 74389 Cleebronn-Zentrum</t>
  </si>
  <si>
    <t>SGM FSV Schwaigern/Oberes Leintal II</t>
  </si>
  <si>
    <t>35000515</t>
  </si>
  <si>
    <t>TSV Güglingen</t>
  </si>
  <si>
    <t>SGM Güglingen/Frauenzimmern (flex)</t>
  </si>
  <si>
    <t>Güglingen Rasen 1 (Stadion), An der Weinsteige 1, 74363 Güglingen-Zentrum</t>
  </si>
  <si>
    <t>SGM Kirchhausen (flex)</t>
  </si>
  <si>
    <t>Bitte wenn möglich zu einer leistungsschwachen Gruppe zuordnen. Danke.</t>
  </si>
  <si>
    <t>Kirchhausen Rasen, Steinbrünnleswiesen 1, 74078 Heilbronn-Kirchhausen</t>
  </si>
  <si>
    <t>11.07.2025</t>
  </si>
  <si>
    <t>35000837</t>
  </si>
  <si>
    <t>SV Massenbachhausen</t>
  </si>
  <si>
    <t>SGM MassenbachHausen (flex)</t>
  </si>
  <si>
    <t>C1 und D1 am gleichen Tag
kein Heimspiel am letzten Spieltag</t>
  </si>
  <si>
    <t>Spielbeginn bei Heimspielen 14.15Uhr, bitte davor die Heimspiele der D1 Junioren ansetzen._x000D_
_x000D_
Wir müssen evtl einige Spiele als "Flex-Mannschaft" spielen._x000D_
_x000D_
Einteilung in Pool B, da wir eine neue Mannschaftaufbauen, mit Spielern aus der D-Junioren!_x000D_
_x000D_
Am Wochenende 15. 05. und 16.05. findet in Massenbach und MassenbachHausen ein internationales Frisbee Turnier statt. Daher keine Heimspiele der Junioren in Massenbach und Massenbachhausen an diesem Wochenende.</t>
  </si>
  <si>
    <t>Massenbach Rasen, Mühlweg, 74193 Schwaigern-Massenbach</t>
  </si>
  <si>
    <t>35000950</t>
  </si>
  <si>
    <t>TSV Nordhausen</t>
  </si>
  <si>
    <t>SGM Nordhausen Unteres Zabergäu</t>
  </si>
  <si>
    <t>Pool B (Die Mannschaft besteht aus leistungsschwachen Spielern)</t>
  </si>
  <si>
    <t>35001040</t>
  </si>
  <si>
    <t>TSV Pfaffenhofen</t>
  </si>
  <si>
    <t>SGM Pfaffenhofen / Oberes Zabergäu</t>
  </si>
  <si>
    <t>Heimspiel C mit E</t>
  </si>
  <si>
    <t>Heimspiele zusammen mit E Junioren</t>
  </si>
  <si>
    <t>Pfaffenhofen Rasen 1, Im Unteren Tal, 74397 Pfaffenhofen</t>
  </si>
  <si>
    <t>C KS 4</t>
  </si>
  <si>
    <t>SC Amorbach II</t>
  </si>
  <si>
    <t>Sehr geehrte Damen und Herren, wir wünschen die Ansetzung unserer C2 in den Topf 1.</t>
  </si>
  <si>
    <t>SGM Dahenfeld/Oedheim II (flex)</t>
  </si>
  <si>
    <t>Bitte als Flex-Mannschaft melden</t>
  </si>
  <si>
    <t>35000520</t>
  </si>
  <si>
    <t>SG Gundelsheim</t>
  </si>
  <si>
    <t>SGM Gundelsheim Krumme Ebene am Neckar</t>
  </si>
  <si>
    <t>SGM Neuenstadt</t>
  </si>
  <si>
    <t>Pool 2, da qualitativ zu schlecht für Pool 1</t>
  </si>
  <si>
    <t>SGM Spvgg Möckmühl Unteres Jagsttal II</t>
  </si>
  <si>
    <t>SGM TSV Erlenbach EbErG II (flex)</t>
  </si>
  <si>
    <t>SGM Union Heilbronn / TSN 1969 III (flex)</t>
  </si>
  <si>
    <t>Bitte als Flex-Mannschaft anmelden</t>
  </si>
  <si>
    <t>SGM Willsbach II (flex)</t>
  </si>
  <si>
    <t>TSG Heilbronn II</t>
  </si>
  <si>
    <t>C1 + C2 an verschiedenen Tagen</t>
  </si>
  <si>
    <t>C KS 5</t>
  </si>
  <si>
    <t>01.09.2025</t>
  </si>
  <si>
    <t>35000150</t>
  </si>
  <si>
    <t>DJK-TSV Bieringen</t>
  </si>
  <si>
    <t>SGM DJK-TSV Bieringen/Schöntal</t>
  </si>
  <si>
    <t>Sportplatz 1, DJK Bieringen, Max-Eyth-Str., 74214 Schöntal-Bieringen</t>
  </si>
  <si>
    <t>35001124</t>
  </si>
  <si>
    <t>TV Rot am See</t>
  </si>
  <si>
    <t>SGM Rot am See/Brettheim/Hengstfeld</t>
  </si>
  <si>
    <t>Bitte während der Muswiese  (11.10. - 16.10.) keine Spiele ansetzen.</t>
  </si>
  <si>
    <t>Brettachstadion, Mittelgasse 24, 74599 Wallhausen-Hengstfeld</t>
  </si>
  <si>
    <t>35000457</t>
  </si>
  <si>
    <t>TSV Gerabronn</t>
  </si>
  <si>
    <t>SGM TSV Gerabronn/Dünsbach/Langenburg</t>
  </si>
  <si>
    <t>Stadion unter den Linden, Grabenstr., 74582 Gerabronn</t>
  </si>
  <si>
    <t>18.10.2025</t>
  </si>
  <si>
    <t>22.03.2026</t>
  </si>
  <si>
    <t>SGM VfB Neuhütten/Wüstenrot/Neulautern</t>
  </si>
  <si>
    <t>Samstag 14 Uhr</t>
  </si>
  <si>
    <t>Samstags 14 Uhr</t>
  </si>
  <si>
    <t>SSV Schwäbisch Hall I</t>
  </si>
  <si>
    <t>Sportplatz 2 SSV SHA, Breiteichstr. 49, 74523 Schwäbisch Hall</t>
  </si>
  <si>
    <t>35000886</t>
  </si>
  <si>
    <t>SV Mulfingen</t>
  </si>
  <si>
    <t>SV Mulfingen (flex)</t>
  </si>
  <si>
    <t>Kunstrasenplatz Mulfingen am Vereinsheim, Bachgasse 94, 74673 Mulfingen-Zentrum</t>
  </si>
  <si>
    <t>C KS 8</t>
  </si>
  <si>
    <t>C KS 6</t>
  </si>
  <si>
    <t>Keine Heimspiele möglich wegen Veranstaltungen in der Sporthalle incl. Umkleidekabinen._x000D_
Samstag, 01.11.2025_x000D_
Samstag, 15.11.2025 und Sonntag, 16.11.2025_x000D_
Samstag, 22.11.2025 und Sonntag, 23.11.2025_x000D_
_x000D_
Nach Rückmeldung der Trainer unserer C-Junioren und auch das Abschneiden der D- und C-Jgd. in der letzten Saison, wäre es besser in Topf 2 zu landen. Ansonsten befürchten wir das die Jungs vollends die Motivation verlieren, wenn sie gleich wieder hoch verlieren werden.</t>
  </si>
  <si>
    <t>SGM FV Künzelsau / SV Morsbach / SC Amrichshausen</t>
  </si>
  <si>
    <t>SGM SSV Gaisbach/Kupferzell/Ingelfingen II</t>
  </si>
  <si>
    <t>SGM TSG Waldenburg/TSV Neuenstein II (flex)</t>
  </si>
  <si>
    <t>Samstag 14:00/14:30 Uhr</t>
  </si>
  <si>
    <t>als Flexmannschaft melden und nach der C1 um 14:00 oder 14:30 ansetzen!_x000D_
Danke!</t>
  </si>
  <si>
    <t>SGM TSV Bitzfeld/Brettachtal II</t>
  </si>
  <si>
    <t>Aufgrund einiger Abgänge Reduzierung auf Flex Mannschaft.</t>
  </si>
  <si>
    <t>Sportplatz 1 Untersteinbach, Freibadweg, 74629 Pfedelbach-Untersteinbach</t>
  </si>
  <si>
    <t>SGM TSV Weißbach II / Kickers Mittleres Kochertal</t>
  </si>
  <si>
    <t>35001560</t>
  </si>
  <si>
    <t>TSV Zweiflingen</t>
  </si>
  <si>
    <t>SGM TSV Zweiflingen/Ohrnberg</t>
  </si>
  <si>
    <t>Sportplatz 1 TSV Zweiflingen, Bei der Sporthalle, 74639 Zweiflingen</t>
  </si>
  <si>
    <t>C KS 7</t>
  </si>
  <si>
    <t>SGM Bühlertann/Bühlerzell II</t>
  </si>
  <si>
    <t>C2 nicht am gleichen Tag wie C1</t>
  </si>
  <si>
    <t>Änderung für Rückrunde: C2 auch wieder Rückrunde in Bühlertann, außer wenn beide gleichzeitig Heimspiele haben. Dann bitte C2 nach Bühlerzell legen._x000D_
_x000D_
Vorrunde: Bühlertann,  Rückrunde: Bühlerzell</t>
  </si>
  <si>
    <t>35000400</t>
  </si>
  <si>
    <t>SK Fichtenberg</t>
  </si>
  <si>
    <t>SGM Fichtenberg/Rottal</t>
  </si>
  <si>
    <t>Spielort Hinrunde Fichtenberg / Rückrunde Oberrot</t>
  </si>
  <si>
    <t>SGM Obersontheim/Vellberg/Gründelhardt/Honhardt II (flex)</t>
  </si>
  <si>
    <t>Bitte am Volksfest Wochenende 19/20.9 kein Spiel Ansätzen da die Vereine keine Spielverlegung zustimmen und unsere Jungs da gehe hin gehen möchten</t>
  </si>
  <si>
    <t>SGM SC Bibersfeld/Juniorteam MMB II (flex)</t>
  </si>
  <si>
    <t>SGM TSV Michelbach/Bilz/SV Westheim/SV Rieden II (flex)</t>
  </si>
  <si>
    <t>Wir würden gerne die Heimspiele mit der 2. Mannschaft vor der 1. Mannschaft in Michelbach austragen. Sollte das nicht möglich sein, spielen wir mit der C2 in der Vorrunde in Westheim.</t>
  </si>
  <si>
    <t>SGM TSV Sulzdorf/TSV Hessental II (flex)</t>
  </si>
  <si>
    <t>SSV Schwäbisch Hall II</t>
  </si>
  <si>
    <t>Spiele bitte wie gewohnt am Samstag.</t>
  </si>
  <si>
    <t>35000155</t>
  </si>
  <si>
    <t>FC Billingsbach</t>
  </si>
  <si>
    <t>SGM Billingsbach / Blaufelden / Wiesenbach</t>
  </si>
  <si>
    <t>Sportplatz 1, FC Billingsbach, Grabenäcker 1, 74572 Billingsbach</t>
  </si>
  <si>
    <t>SGM SpVgg Gammesfeld/Bartenstein/Schrozberg</t>
  </si>
  <si>
    <t>SGM SV Westgartshausen (flex)</t>
  </si>
  <si>
    <t>35000047</t>
  </si>
  <si>
    <t>TSV Althausen-Neunkirchen</t>
  </si>
  <si>
    <t>SGM TSV Althausen-Neunkirchen/SV Wachbach</t>
  </si>
  <si>
    <t>Heimspiele Ausschließlich beim SV Wachbach</t>
  </si>
  <si>
    <t>Sportplatz 1 Markelsheim, Unterer Wasen 5, 97980 Bad Mergentheim-Markelsheim</t>
  </si>
  <si>
    <t>SpVgg Satteldorf II (flex)</t>
  </si>
  <si>
    <t>Platz 1 SpVgg Satteldorf, Kernmühlenweg, 74589 Satteldorf-Neidenfels</t>
  </si>
  <si>
    <t>TSG Kirchberg/Jagst I</t>
  </si>
  <si>
    <t>35000207</t>
  </si>
  <si>
    <t>TSV Braunsbach</t>
  </si>
  <si>
    <t>Bitte wenn möglich, bei der Einteilung der Staffeln, den TSV Braunsbach in Topf 2 zuordnen. _x000D_
Mannschaft besteht größtenteils aus Spielern die frisch aus der D Jugend kommen, und leider körperlich noch nicht soweit sind. Danke.</t>
  </si>
  <si>
    <t>Kunstrasenplatz TSV Braunsbach, Im Kies 1, 74542 Braunsbach</t>
  </si>
  <si>
    <t>TSG Kirchberg/Jagst II (flex)</t>
  </si>
  <si>
    <t>D-Junioren</t>
  </si>
  <si>
    <t>Verbandsliga</t>
  </si>
  <si>
    <t>D VS</t>
  </si>
  <si>
    <t>9</t>
  </si>
  <si>
    <t>mittel</t>
  </si>
  <si>
    <t>35000409</t>
  </si>
  <si>
    <t>TG Forchtenberg</t>
  </si>
  <si>
    <t>SGM TG Forchtenberg I / Kickers Mittleres Kochertal</t>
  </si>
  <si>
    <t>sehr stark</t>
  </si>
  <si>
    <t>Heimspiele am selben Tag wie die D2._x000D_
_x000D_
Topf 1</t>
  </si>
  <si>
    <t>Sportplatz Sindringen, Tuchbleiche 21, 74670 Forchtenberg-Sindringen</t>
  </si>
  <si>
    <t>Bezirksstaffel</t>
  </si>
  <si>
    <t>D BS</t>
  </si>
  <si>
    <t>D BS 1</t>
  </si>
  <si>
    <t>FSV Schwaigern I</t>
  </si>
  <si>
    <t>Schwaigern Rasen 2 (oberes Spielfeld), Falltorstr. 10, 74193 Schwaigern-Zentrum</t>
  </si>
  <si>
    <t>stark</t>
  </si>
  <si>
    <t>C2 und D1 an gleichen Tag Heimspiele</t>
  </si>
  <si>
    <t>Bitte den Heimspieltag  vor unserer  C2 ansetzen,da die SG Trainer beide Teams betreuen!</t>
  </si>
  <si>
    <t>SGM Ilsfeld-Abstatt-Heinriet ABI I</t>
  </si>
  <si>
    <t>D2 und D1 am gleichen Tag Heimspiele</t>
  </si>
  <si>
    <t>Heimspieltag zusammen mit den DII-Junioren und am gleichen Wochenende wie die C- und B-Juniorinnen_x000D_
DII-Spiel vor dem DI-Spiel</t>
  </si>
  <si>
    <t>Ilsfeld Rasen 1, Brückenstr. 28, 74360 Ilsfeld</t>
  </si>
  <si>
    <t>SGM Oedheim/Dahenfeld I</t>
  </si>
  <si>
    <t>Oedheim Kunstrasen, Mörikestr. 37, 74229 Oedheim</t>
  </si>
  <si>
    <t>35001178</t>
  </si>
  <si>
    <t>SV Sülzbach</t>
  </si>
  <si>
    <t>SGM Sülzbach Sulmtal I</t>
  </si>
  <si>
    <t>D2 und D1 und E-Junioren am gleichen Tag Heimspiele</t>
  </si>
  <si>
    <t>Heimspiele samstags gemeinsam mit D II._x000D_
Wenn möglich Heimspiele mit Heimspielen der E Junioren TSV Ellhofen bzgl. Organisation Bewirtung etc.</t>
  </si>
  <si>
    <t>Ellhofen Rasen 1, Eulenbergstr. 60, 74248 Ellhofen-Zentrum</t>
  </si>
  <si>
    <t>bitten in Topf 1 einteilen._x000D_
_x000D_
- Anstoßzeiten bitte berücksichtigen, da ansonsten Probleme bei der Platzbelegung:_x000D_
_x000D_
Anstoßzeiten_x000D_
- 09:30 Uhr E-Jugend, D-Jugend_x000D_
- 11:15 Uhr D-Jugend, C-Jugend, B-Jugend, A-Jugend (auch möglich)_x000D_
- 13:30 Uhr C-Jugend, B-Jugend, A-Jugend_x000D_
- 15:45 Uhr A-Jugend, Herren_x000D_
- 18:00 Uhr B-Jugend, D-Jugend, E-Jugend</t>
  </si>
  <si>
    <t>35000205</t>
  </si>
  <si>
    <t>VfL Brackenheim</t>
  </si>
  <si>
    <t>SGM VfL Brackenheim I</t>
  </si>
  <si>
    <t>15.08.2025</t>
  </si>
  <si>
    <t>Meimsheim Rasen 2, Alter Lauffener Weg, 74336 Brackenheim-Meimsheim</t>
  </si>
  <si>
    <t>Bitte alle 3 D-Junioren Mannschaften in Topf 1 einteilen.</t>
  </si>
  <si>
    <t>Heilbronn Frankenstadion Rasen 2 (Nebenplatz), Badstr. 100, 74072 Heilbronn-Zentrum</t>
  </si>
  <si>
    <t>35001712</t>
  </si>
  <si>
    <t>TSV Krautheim</t>
  </si>
  <si>
    <t>D BS 2</t>
  </si>
  <si>
    <t>SGM Krautheim/Mittleres Jagsttal I</t>
  </si>
  <si>
    <t>mittwochs</t>
  </si>
  <si>
    <t>TSV Krautheim, Schulstr. 11, 74238 Krautheim-Zentrum</t>
  </si>
  <si>
    <t>SGM SSV Gaisbach/TSVKupferzell/TSV Ingelfingen I</t>
  </si>
  <si>
    <t>35001353</t>
  </si>
  <si>
    <t>FC Taubertal-Tauberrettersheim</t>
  </si>
  <si>
    <t>SGM Taubertal/Röttingen</t>
  </si>
  <si>
    <t>Sportplatz 1 FC Taubertal, Tauberstraße 22, 97285 Taubertal-Tauberrettersheim</t>
  </si>
  <si>
    <t>SGM TSV Ohrnberg / Zweiflingen I</t>
  </si>
  <si>
    <t>D1 + D2 an verschiedenen Tagen</t>
  </si>
  <si>
    <t>Heimspiele bitte immer versetzt zur 2. Mannschaft der SGM. Danke</t>
  </si>
  <si>
    <t>35001449</t>
  </si>
  <si>
    <t>TSV Waldbach</t>
  </si>
  <si>
    <t>SGM TSV Waldbach/Brettachtal I</t>
  </si>
  <si>
    <t>bitte keine zwei Heimspiele zeitgleich_x000D_
evtl. Heimspiele hintereinander ansetzen von 1. und 2.Mannschaft?_x000D_
Sollte aber nochmals abgeklärt werden vor Einteilung</t>
  </si>
  <si>
    <t>Sportplatz 1 Waldbach, Sportplatzweg, 74626 Bretzfeld-Waldbach</t>
  </si>
  <si>
    <t>SGM Weikersheim Vorbach-Tauber I</t>
  </si>
  <si>
    <t>Sportplatz 2 TSV Weikersheim, August-Laukhuff-Str., 97990 Weikersheim-Zentrum</t>
  </si>
  <si>
    <t>TSG Öhringen I</t>
  </si>
  <si>
    <t>TV Niederstetten I</t>
  </si>
  <si>
    <t>35000565</t>
  </si>
  <si>
    <t>ASV Heilbronn</t>
  </si>
  <si>
    <t>D LS</t>
  </si>
  <si>
    <t>D LS 1</t>
  </si>
  <si>
    <t>ASV Heilbronn I</t>
  </si>
  <si>
    <t>E1 + E3 + D1 nacheinander</t>
  </si>
  <si>
    <t>Heimspiele der E I, E III und D I jeweils hintereinander</t>
  </si>
  <si>
    <t>Wertwiesen (ASV) Rasen, Wertwiesen 6, 74081 Heilbronn-Sontheim</t>
  </si>
  <si>
    <t>SGM TSV Brettach KoBra I</t>
  </si>
  <si>
    <t>Bitte am Wochenende 26.-28.9.25 keine Spielansetzungen_x000D_
Grund: Brettacher Markt, hier sind Spieler auf unserem Jugendstand im Einsatz, außerdem ist das Sportgelände sehr schwierig zu erreichen</t>
  </si>
  <si>
    <t>Bitte in Topf 1 einteilen._x000D_
Begründung: Unsere D2-Mannschaft ist eine Spielstarke Mannschaft._x000D_
_x000D_
- Anstoßzeiten bitte berücksichtigen, da ansonsten Probleme bei der Platzbelegung:_x000D_
_x000D_
Anstoßzeiten_x000D_
- 09:30 Uhr E-Jugend, D-Jugend_x000D_
- 11:15 Uhr D-Jugend, C-Jugend, B-Jugend, A-Jugend (auch möglich)_x000D_
- 13:30 Uhr C-Jugend, B-Jugend, A-Jugend_x000D_
- 15:45 Uhr A-Jugend, Herren_x000D_
- 18:00 Uhr B-Jugend, D-Jugend, E-Jugend</t>
  </si>
  <si>
    <t>E nicht am gleichen Tagen wie D</t>
  </si>
  <si>
    <t>Topf 1 und wenn möglich E und D-Jugend nicht am selben Tag ein Heimspiel</t>
  </si>
  <si>
    <t>Untergruppenbach Rasen 2 (Nebenplatz am Sportheim), Obergruppenbacher Str., 74199 Untergruppenbach-Zentrum</t>
  </si>
  <si>
    <t>TV Flein I</t>
  </si>
  <si>
    <t>älter</t>
  </si>
  <si>
    <t>Flein Kunstrasen (Flutlicht), Talheimer Str. 1, 74223 Flein-Zentrum</t>
  </si>
  <si>
    <t>D LS 2</t>
  </si>
  <si>
    <t>SGM DJK-TSV Bieringen/Schöntal I</t>
  </si>
  <si>
    <t>SGM SV Wachbach/Althausen Neunkirchen</t>
  </si>
  <si>
    <t>SGM TG Forchtenberg II / Kickers Mittleres Kochertal</t>
  </si>
  <si>
    <t>D1 + D2 am gleichen Tag</t>
  </si>
  <si>
    <t>Heimspiele am selben Tag wie die D1._x000D_
_x000D_
Topf 1</t>
  </si>
  <si>
    <t>SGM TSV Neuenstein/Waldenburg I</t>
  </si>
  <si>
    <t>Sportplatz 2 TSV Neuenstein, Öhringer Str., 74632 Neuenstein-Zentrum</t>
  </si>
  <si>
    <t>VfB Bad Mergentheim I</t>
  </si>
  <si>
    <t>D UL KS</t>
  </si>
  <si>
    <t>D KS 01</t>
  </si>
  <si>
    <t>SC Amorbach I (U13)</t>
  </si>
  <si>
    <t>35000088</t>
  </si>
  <si>
    <t>MSV Bachenau</t>
  </si>
  <si>
    <t>SGM Bachenau Krumme Ebene am Neckar</t>
  </si>
  <si>
    <t>Bitte die Spiele soweit es möglich ist auf Freitags legen da man Samstag die C Jugend mit Spielern unterstützen muss.</t>
  </si>
  <si>
    <t>Bachenau Rasen, Pfarrstr. 28, 74831 Gundelsheim-Bachenau</t>
  </si>
  <si>
    <t>35001400</t>
  </si>
  <si>
    <t>Spfr Untergriesheim</t>
  </si>
  <si>
    <t>SGM Untergriesheim H-U-T-H I</t>
  </si>
  <si>
    <t>Diese Mannschaft soll in Topf 1 und als 9er Mannschaft antreten. Wenn möglich, soll bei gemeinsamen Heimspielen zuerst die D2 spielen und im Anschluss die D1.</t>
  </si>
  <si>
    <t>Untergriesheim Rasen, Austr., 74177 Bad Friedrichshall-Untergriesheim</t>
  </si>
  <si>
    <t>Spvgg Möckmühl I</t>
  </si>
  <si>
    <t>D KS 02</t>
  </si>
  <si>
    <t>SGM VfL Eberstadt</t>
  </si>
  <si>
    <t>35000212</t>
  </si>
  <si>
    <t>TSG Bretzfeld-Rappach</t>
  </si>
  <si>
    <t>WIR WÜRDEN GERN SAMSTAGS SPIELEN IN DER  GRUPPE UNTERLAND E-JUNIOREN KREISTAFFEL TYP 1._x000D_
( SCHIRI IST VORHANDEN HERR USTA VON DER SCHIRI GRUPPE ÖHRINGEN) _x000D_
LEIDER KÖNNEN WIR MITTWOCHS  KEINE SPIELE IM STADION AUSTRAGEN._x000D_
ES IST  BELEGT WEGEN  LEICHTATHLETIK TRAINING._x000D_
_x000D_
LEIDER KÖNNEN WIR DIE HEIMSPIELE NICHT AUSTRAGEN WEGEN RASENSANIERUNG BIS MITTE OKTOBER_x000D_
DES WEGEN WÜRDEN WIR DIE ERSTEN DREI HEIMSPIELE AUSWÄRTSSPIELEN._x000D_
_x000D_
_x000D_
S.USTA _x000D_
JUGENDLEITER_x000D_
TSG BRETZFELD</t>
  </si>
  <si>
    <t>Stadion TSG Bretzfeld/Rappach, Einsteinstr. 19, 74626 Bretzfeld-Zentrum</t>
  </si>
  <si>
    <t>TSV Weinsberg I</t>
  </si>
  <si>
    <t>D KS 03</t>
  </si>
  <si>
    <t>Spfr. Lauffen I</t>
  </si>
  <si>
    <t>TG Böckingen I</t>
  </si>
  <si>
    <t>TGV Eintracht Beilstein I</t>
  </si>
  <si>
    <t>Wünschenswert wäre es wenn bei Heimspielen die D1 nach der D2 Ihre Spiele austragen kann_x000D_
Würden gerne das Team im Leistungstarken pool anmelden.  D.h. das, dass Team für die Qualifikation zur Bezirksstaffel für das Frühjahr teilnehmen kann</t>
  </si>
  <si>
    <t>Beilstein Kunstrasen, Albert-Einstein-Str. 20, 71717 Beilstein-Zentrum</t>
  </si>
  <si>
    <t>D1 Heim, dann D2 auswärts_x000D_
D3 davor, egal bei welche D-Jugend</t>
  </si>
  <si>
    <t>Wertwiesen (TSG) Rasen 2, Wertwiesen 8, 74081 Heilbronn-Sontheim</t>
  </si>
  <si>
    <t>TSV Talheim</t>
  </si>
  <si>
    <t>D KS 04</t>
  </si>
  <si>
    <t>SGM Bonfeld/Fürfeld/Obergimpern I</t>
  </si>
  <si>
    <t>Bonfeld Rasen 1, Im Bisland 6, 74906 Bad Rappenau-Bonfeld</t>
  </si>
  <si>
    <t>35000951</t>
  </si>
  <si>
    <t>TSV Nordheim Fußball</t>
  </si>
  <si>
    <t>SGM Nordheim Unteres Zabergäu I</t>
  </si>
  <si>
    <t>Ich bitte um normale Zuordnung der D1 zu Topf 1._x000D_
HEIMSPIELE der D1 bitte ich aufgrund der Platzbelegung auf Samstags 15.00Uhr zu legen. Danke.</t>
  </si>
  <si>
    <t>Nordheim Kunstrasen, Breibachweg, 74226 Nordheim-Zentrum</t>
  </si>
  <si>
    <t>C bis E am gleichen Tag</t>
  </si>
  <si>
    <t>Bitte C bis E-Jugend am selben Tag zu Hause wegen Heimspielverkauf und Platzaufbau_x000D_
_x000D_
D1 -Jugend Beginn 13:00 Uhr</t>
  </si>
  <si>
    <t>Neckarwestheim Rasen 2, Reblandstr. 31, 74382 Neckarwestheim-Zentrum</t>
  </si>
  <si>
    <t>SV Leingarten I</t>
  </si>
  <si>
    <t>A-Pool</t>
  </si>
  <si>
    <t>Leingarten Rasen 2 (Nebenplatz), Egarten, 74211 Leingarten-Großgartach</t>
  </si>
  <si>
    <t>D HL KS</t>
  </si>
  <si>
    <t>D KS 09</t>
  </si>
  <si>
    <t>FV Künzelsau I</t>
  </si>
  <si>
    <t>SGM FC Creglingen/Bieberehren I</t>
  </si>
  <si>
    <t>35001434</t>
  </si>
  <si>
    <t>TSG Verrenberg</t>
  </si>
  <si>
    <t>D KS 10</t>
  </si>
  <si>
    <t>Sportplatz 1 TSG Verrenberg, Reblandstr., 74613 Öhringen-Verrenberg</t>
  </si>
  <si>
    <t>SGM Neudenau/Siglingen</t>
  </si>
  <si>
    <t>schwach</t>
  </si>
  <si>
    <t>Samstag 14:00 Uhr</t>
  </si>
  <si>
    <t>Spiel bitte Samstag um 14:00 Uhr ansetzen_x000D_
_x000D_
Bitte die Mannschaft in den Pool 2 melden._x000D_
Wir hatten im letzten Jahr eine SGM mit Möckmühl zur SGM Unteres Jagsttal. Für das Spieljahr 2025/2026 können wir wieder eine eigene D-Jugend stellen, diese ist aber überwiegend mit Spielern aus dem jüngeren Jahrgang und mit Anfängern besetzt. Daher bitte Meldung in leistungsschwacher Gruppe. Danke</t>
  </si>
  <si>
    <t>Neudenau Rasen 1, Siglinger Str., 74861 Neudenau-Zentrum</t>
  </si>
  <si>
    <t>SGM Neuenstadt I</t>
  </si>
  <si>
    <t>SGM Oedheim/Dahenfeld II</t>
  </si>
  <si>
    <t>B-Pool (Topf 2)</t>
  </si>
  <si>
    <t>TSV Erlenbach I</t>
  </si>
  <si>
    <t>D + E gemeinsame Spieltage</t>
  </si>
  <si>
    <t>Heimspieltage bitte im Abgleich mit der E-Jugend zusammen planen</t>
  </si>
  <si>
    <t>alle Jugendmannschaften am gleichen Tag Heimspiel</t>
  </si>
  <si>
    <t>Bitte C bis E-Jugend am selben Tag zu Hause wegen Heimspielverkauf und Platzaufbau_x000D_
_x000D_
D2-Jugend Beginn 11:00 Uhr</t>
  </si>
  <si>
    <t>D KS 07</t>
  </si>
  <si>
    <t>Spfr. Lauffen II</t>
  </si>
  <si>
    <t>SV Leingarten II</t>
  </si>
  <si>
    <t>jünger</t>
  </si>
  <si>
    <t>TV Flein II</t>
  </si>
  <si>
    <t>SGM Cleebronn/Botenheim/Eibensbach/Stockheim I</t>
  </si>
  <si>
    <t>Bitte aufgrund der Spielstärke in Topf 2.</t>
  </si>
  <si>
    <t>SGM Güglingen / Frauenzimmern I</t>
  </si>
  <si>
    <t>Samstag 12:30</t>
  </si>
  <si>
    <t>gewünschte Anstosszeit 12.30 Uhr</t>
  </si>
  <si>
    <t>D KS 05</t>
  </si>
  <si>
    <t>SC Amorbach II (U12)</t>
  </si>
  <si>
    <t>D KS 06</t>
  </si>
  <si>
    <t>SC Amorbach III</t>
  </si>
  <si>
    <t>sehr schwach</t>
  </si>
  <si>
    <t>SGM Neuenstadt II</t>
  </si>
  <si>
    <t>SGM Untergriesheim H-U-T-H II</t>
  </si>
  <si>
    <t>Diese Mannschaft soll in Topf 2 und als 9er Mannschaft antreten. Wenn möglich, soll bei gemeinsamen Heimspielen zuerst die D2 spielen und im Anschluss die D1.</t>
  </si>
  <si>
    <t>Sport-Union Neckarsulm III</t>
  </si>
  <si>
    <t>Spvgg Möckmühl II</t>
  </si>
  <si>
    <t>VfL Obereisesheim II</t>
  </si>
  <si>
    <t>Bitte die Mannschaft in Pool B Einteilen _x000D_
 Beide D Jugend melden wir  für den diesjährigen VR Cup an</t>
  </si>
  <si>
    <t>Obereisesheim Rasen 2, Eberwinstr. 26, 74172 Neckarsulm-Obereisesheim</t>
  </si>
  <si>
    <t>SGM Ilsfeld-Abstatt-Heinriet ABI II</t>
  </si>
  <si>
    <t>Heimspieltag mit den DI-Junioren zusammen und am gleichen Wochenende wie C- und B-Juniorinnen</t>
  </si>
  <si>
    <t>SGM Sülzbach Sulmtal II</t>
  </si>
  <si>
    <t>E1 + E2 + D nacheinander</t>
  </si>
  <si>
    <t>Heimspiele samstags gemeinsam mit D I._x000D_
Wenn möglich Heimspiele mit Heimspielen der E Junioren TSV Ellhofen bzgl. Organisation Bewirtung etc.</t>
  </si>
  <si>
    <t>SGM Willsbach II</t>
  </si>
  <si>
    <t>TGV Eintracht Beilstein II</t>
  </si>
  <si>
    <t>wünschenswert wäre das bei Heimspielen die D2 vor der D1 Ihre Spiele austragen wird</t>
  </si>
  <si>
    <t>TSV Weinsberg II</t>
  </si>
  <si>
    <t>TV Flein III</t>
  </si>
  <si>
    <t>VfL Obereisesheim I</t>
  </si>
  <si>
    <t>Uns hat die komplette E1 Richtung VFR Heilbronn verlassen  _x000D_
deshalb bitte die Mannschaft in Pool B Einteile  _x000D_
Beide D Jugend melden wir  für den diesjährigen VR Cup an</t>
  </si>
  <si>
    <t>ASV Heilbronn II</t>
  </si>
  <si>
    <t>E2 + E4 + D2 nacheinander</t>
  </si>
  <si>
    <t>Heimspiele der E II, E IV und D II jeweils hintereinander</t>
  </si>
  <si>
    <t>SGM MassenbachHausen II</t>
  </si>
  <si>
    <t>Bitte die Heimspiele nicht am gleichen Samstag wie die D1 Mannschaft ansetzen, gewünschter Spielbeginn 12.30 Uhr_x000D_
_x000D_
Einteilung in Pool B, da die Mannschaft aus dem jüngeren Jahrgang und einigen E-Jun Spieler besteht._x000D_
_x000D_
Am Wochenende 15. 05. und 16.05. findet in Massenbach und MassenbachHausen ein internationales Frisbee Turnier statt. Daher keine Heimspiele der Junioren in Massenbach und Massenbachhausen an diesem Wochenende.</t>
  </si>
  <si>
    <t>35000729</t>
  </si>
  <si>
    <t>SSV Klingenberg</t>
  </si>
  <si>
    <t>Klingenberg Rasen 1, Lange Wiesen 1, 74081 Heilbronn-Klingenberg</t>
  </si>
  <si>
    <t>SV Heilbronn am Leinbach IV</t>
  </si>
  <si>
    <t>Neckargartach Rasen 2, Böllinger Str. 40, 74078 Heilbronn-Neckargartach</t>
  </si>
  <si>
    <t>TG Böckingen II</t>
  </si>
  <si>
    <t>TSG Heilbronn III</t>
  </si>
  <si>
    <t>D3 vor D1/D2</t>
  </si>
  <si>
    <t>Wertwiesen (TSG) Kunstrasen, Wertwiesen 8, 74081 Heilbronn-Sontheim</t>
  </si>
  <si>
    <t>35000147</t>
  </si>
  <si>
    <t>TSV Biberach</t>
  </si>
  <si>
    <t>Bitte unsere D-Junioren in den Topf "2" einteilen, da die allgemeine Leistungsstärke nicht für die 1-er Mannschaften ausreicht. Dankeschön._x000D_
_x000D_
Falls der Sonntag Vormittag als Spieltag in Frage käme, bitte die Heimspiele auf Sonntag Vormittag legen.</t>
  </si>
  <si>
    <t>Biberach Rasen 1 (Stadion), Bibersteige 19, 74078 Heilbronn-Biberach</t>
  </si>
  <si>
    <t>D KS 08</t>
  </si>
  <si>
    <t>FSV Schwaigern II</t>
  </si>
  <si>
    <t>SGM Bonfeld/Fürfeld/Obergimpern II</t>
  </si>
  <si>
    <t>SGM Cleebronn/Botenheim/Eibensbach/Stockheim II</t>
  </si>
  <si>
    <t>Stockheim Rasen, Schulstr., 74336 Brackenheim-Stockheim</t>
  </si>
  <si>
    <t>SGM Güglingen / Frauenzimmern II</t>
  </si>
  <si>
    <t>Samstag 11:15</t>
  </si>
  <si>
    <t>gewünschte Anstosszeit 11.15 Uhr</t>
  </si>
  <si>
    <t>SGM MassenbachHausen I</t>
  </si>
  <si>
    <t>D1 + C am gleichen Tag / D2 anderer Tag</t>
  </si>
  <si>
    <t>Heimspiel bitte am gleichen Samstag wie die C-Junioren, deshalb gewünschter Spielbeginn 12.00 Uhr_x000D_
(Einteilung D2 dann als Auswärtsspiel)_x000D_
_x000D_
Bitte um Einteilung in Pool B, da wir eine C-Jun Mannschaft neu melden und die  D-Jun. Spieler des älteren Jahrgang bei den C-Jun spielen_x000D_
_x000D_
Am Wochenende 15. 05. und 16.05. findet in Massenbach und MassenbachHausen ein internationales Frisbee Turnier statt. Daher keine Heimspiele der Junioren in Massenbach und Massenbachhausen an diesem Wochenende.</t>
  </si>
  <si>
    <t>SGM Nordheim Unteres Zabergäu II</t>
  </si>
  <si>
    <t>Samstag 13:00 Uhr</t>
  </si>
  <si>
    <t>Ich bitte um normale Zuordnung der D2 zu Topf 2._x000D_
HEIMSPIELE der D2 bitte ich aufgrund der Platzbelegung auf Samstags 13.00Uhr zu legen. Danke.</t>
  </si>
  <si>
    <t>SGM SG Stetten-Kleingartach/Oberes Leintal</t>
  </si>
  <si>
    <t>nicht am gleichen Tag wie E</t>
  </si>
  <si>
    <t>Ergänzung für Rückrunde: Heimspiele der D-Junioren bitte auf 12:30 Uhr ansetzen. Nicht an den gleichen Samstagen, wie die Heimspiele der E-Junioren._x000D_
_x000D_
Die Heimspiele der D-Junioren wenn möglich um 10:30 Uhr ansetzen._x000D_
Die Heimspiele der D-Junioren nicht an den gleichen Samstagen ansetzen, wie die Heimspiele der EI&amp;EII-Junioren der SGM SG Stetten-Kleingartach/Oberes Leintal._x000D_
_x000D_
Die D-Junioren bitte in Pool B einplanen._x000D_
Die D-Junioren bitte NICHT im VR Talentiade Cup einplanen.</t>
  </si>
  <si>
    <t>Stetten Rasen 2, Austr., 74193 Schwaigern-Stetten</t>
  </si>
  <si>
    <t>SGM VfL Brackenheim II</t>
  </si>
  <si>
    <t>35000062</t>
  </si>
  <si>
    <t>SC Amrichshausen</t>
  </si>
  <si>
    <t>SGM Amrichshausen/Morsbach/Nagelsberg</t>
  </si>
  <si>
    <t>Bitte die Mannschaft in den Topf 2 mit den schwächeren Mannschaften einteilen, da wir eine leistungsschwache Mannschaft haben.</t>
  </si>
  <si>
    <t>Sportplatz 2 Amrichshausen, Grabenteichweg 25, 74653 Künzelsau-Amrichshausen</t>
  </si>
  <si>
    <t>SGM DJK-TSV Bieringen/Schöntal II</t>
  </si>
  <si>
    <t>SGM FC Creglingen/Bieberehren II</t>
  </si>
  <si>
    <t>SGM Krautheim/Mittleres Jagsttal II</t>
  </si>
  <si>
    <t>Sportplatz 1, TSV Dörzbach, Meßbacher Str., 74677 Dörzbach-Zentrum</t>
  </si>
  <si>
    <t>SGM Weikersheim Vorbach-Tauber II</t>
  </si>
  <si>
    <t>TV Niederstetten II</t>
  </si>
  <si>
    <t>VfB Bad Mergentheim II</t>
  </si>
  <si>
    <t>SC Michelbach/Wald I</t>
  </si>
  <si>
    <t>Wir bitten die 1. Mannschaft der D-Junioren in Topf 2 zu tun. Zum einen spiegeln die Ergebnisse der Vorsaison ganz gut die Spielstärke wieder, zum anderen haben uns leider 4 bessere Spieler des älteren Jahrgangs verlassen.</t>
  </si>
  <si>
    <t>SGM SSV Gaisbach/TSV Kupferzell/TSV Ingelfingen II</t>
  </si>
  <si>
    <t>SGM TG Forchtenberg III / Kickers Mittleres Kochertal</t>
  </si>
  <si>
    <t>Sportplatz 1 Forchtenberg, Im Spitzen, 74670 Forchtenberg-Zentrum</t>
  </si>
  <si>
    <t>SGM TSV Ohrnberg / Zweiflingen II</t>
  </si>
  <si>
    <t>Heimspiele bitte immer vesetzt zu unserer 1.Mannschaft. Danke</t>
  </si>
  <si>
    <t>SGM TSV Pfedelbach/Jugendteam TSV II</t>
  </si>
  <si>
    <t>SGM TSV Waldbach/Brettachtal II</t>
  </si>
  <si>
    <t>bitte keine zwei Heimspiele zeitgleich ansetzen_x000D_
evtl. Heimspiele hintereinander ansetzen_x000D_
bitte jedoch vor Einteilung nochmals absprechen</t>
  </si>
  <si>
    <t>Bitte in Topf 2 einteilen. Aus der E-Jugend kommen fast nur schwächere Spieler hoch die noch nicht lange Fußball spielen.  Hier würde man im Topf 1 deutlich unterlegen sein._x000D_
Die Mannschaft möchte ausdrücklich trotz Top 2 am VR Cup teilnehmen.</t>
  </si>
  <si>
    <t>Sportzentrum Burgfrieden, Öhringer Str. 78, 71543 Wüstenrot-Neuhütten</t>
  </si>
  <si>
    <t>TSG Öhringen II</t>
  </si>
  <si>
    <t>D KS 11</t>
  </si>
  <si>
    <t>FV Künzelsau II</t>
  </si>
  <si>
    <t>SC Michelbach/Wald II</t>
  </si>
  <si>
    <t>Unsere Mannschaft 2 hat das Niveau einer 3er oder 4er Mannschaft, bitte dementsprechend einteilen.</t>
  </si>
  <si>
    <t>SGM Krautheim/Mittleres Jagsttal III</t>
  </si>
  <si>
    <t>29.08.2025</t>
  </si>
  <si>
    <t>SGM TG Forchtenberg IV / Kickers Mittleres Kochertal</t>
  </si>
  <si>
    <t>05.09.2025</t>
  </si>
  <si>
    <t>D KS 7er</t>
  </si>
  <si>
    <t>D KS 12</t>
  </si>
  <si>
    <t>SG Bad Wimpfen III (7er)</t>
  </si>
  <si>
    <t>7</t>
  </si>
  <si>
    <t>D1 + D3 am gleichen Tag</t>
  </si>
  <si>
    <t>Heim- und Auswärtsspiele wie D1</t>
  </si>
  <si>
    <t>SGM Oberes Zabergäu/Pfaffenhofen (7er)</t>
  </si>
  <si>
    <t>Leistungsbedingt Topf 2._x000D_
Keine Teilnahme an der VR Talentiade.</t>
  </si>
  <si>
    <t>35001512</t>
  </si>
  <si>
    <t>Spfr Widdern</t>
  </si>
  <si>
    <t>SGM Spfr Widdern / SV Jagsthausen (7er)</t>
  </si>
  <si>
    <t>Widdern Rasen 1, Heilbronner Str., 74259 Widdern-Zentrum</t>
  </si>
  <si>
    <t>SGM TSV Brettach KoBra II (7er)</t>
  </si>
  <si>
    <t>bitte am Wochenende 26.-28.7.25 keine Spielansetzung_x000D_
Grund: Brettacher Markt, dort sind Spieler und Trainer auf unserem Jugendstand im Einsatz._x000D_
Außerdem ist das Erreichen des Sportgeländes sehr schwierig</t>
  </si>
  <si>
    <t>SV Leingarten III (7er)</t>
  </si>
  <si>
    <t>B-Pool</t>
  </si>
  <si>
    <t>TSV Heinsheim (7er)</t>
  </si>
  <si>
    <t>SGM TSV Neuenstein/Waldenburg II</t>
  </si>
  <si>
    <t>SGM Union Heilbronn / TSN 1969 III</t>
  </si>
  <si>
    <t>Topf 2 eintragen</t>
  </si>
  <si>
    <t>TSV Erlenbach II (7er)</t>
  </si>
  <si>
    <t>E-Junioren</t>
  </si>
  <si>
    <t>E UL KS</t>
  </si>
  <si>
    <t>E KS 01</t>
  </si>
  <si>
    <t>gemischt</t>
  </si>
  <si>
    <t>SGM TSV Meimsheim I</t>
  </si>
  <si>
    <t>Bitte C bis E-Jugend am selben Tag zu Hause wegen Heimspielverkauf und Platzaufbau_x000D_
_x000D_
E1-Jugend Beginn 11:15 Uhr</t>
  </si>
  <si>
    <t>E1 + E2 nacheinander</t>
  </si>
  <si>
    <t>die Heimspiele unserer E1 und E2 sollten möglichst am gleichen Tag nacheinander ausgetragen werden. Das Team der E1 bitten wir im A-Pool einzuteilen</t>
  </si>
  <si>
    <t>Heimspieltage bitte im Abgleich mit der D-Jugend zusammen planen</t>
  </si>
  <si>
    <t>E KS 02</t>
  </si>
  <si>
    <t>FC Obersulm I</t>
  </si>
  <si>
    <t>Hagenbach Rasen, Ohrnberger Str. 4, 74177 Bad Friedrichshall-Hagenbach</t>
  </si>
  <si>
    <t>SGM SC Abstatt Heinriet I</t>
  </si>
  <si>
    <t>SGM TSV Hardthausen KoBra I</t>
  </si>
  <si>
    <t>bitte um spielfrei am Wochenende 27.+28.09.25, Grund: Brettacher Markt, Trainer und Spieler sind am Jugendstand eingeteilt_x000D_
Einteilung in Topf 1</t>
  </si>
  <si>
    <t>SV Sülzbach I</t>
  </si>
  <si>
    <t>E1 + E2 zeitgleich</t>
  </si>
  <si>
    <t>Heimspiel E1 und E2 zeitgleich, dann E3 und E4 auswärts_x000D_
E5 bitte vor E1/2 oder E3/4</t>
  </si>
  <si>
    <t>E KS 03</t>
  </si>
  <si>
    <t>Sehr geehrte Damen und Herren, wir wollen unsere E2 für den Topf 1 melden. Da es der ältere Jahrgang ist und einige der Spieler letztes Jahr schon im Topf 1 gespielt haben.</t>
  </si>
  <si>
    <t>SGM Neudenau/Siglingen I</t>
  </si>
  <si>
    <t>Samstag 10:30 Uhr</t>
  </si>
  <si>
    <t>Spielbeginn bitte um 10:30 Uhr in Neudenau für die Heimspiele aufgrund Platzverfügbarkeit</t>
  </si>
  <si>
    <t>Bitte in Topf 1 einteilen. Da unsere Mannschaft eine spielstarke Mannschaft ist._x000D_
_x000D_
- Da unser Trainer beide Jugendmannschaften (E1 und E2) betreut, möchte wir bitten, die Spiele beiden Teams nach Möglichkeit Heimspiele nacheinander anzusetzen. Das könnte sicherstellen dass der Trainer bei beiden Spielen anwesend ist._x000D_
_x000D_
Anstoßzeiten_x000D_
- 09:30 Uhr E-Jugend, D-Jugend_x000D_
- 11:15 Uhr D-Jugend, C-Jugend, B-Jugend, A-Jugend (auch möglich)_x000D_
- 13:30 Uhr C-Jugend, B-Jugend, A-Jugend_x000D_
- 15:45 Uhr A-Jugend, Herren_x000D_
- 18:00 Uhr B-Jugend, D-Jugend, E-Jugend</t>
  </si>
  <si>
    <t>Neckarsulm Pichterich Kunstrasen (Kleinfeld), Pichterichstr. 71, 74172 Neckarsulm</t>
  </si>
  <si>
    <t>Spvgg Oedheim I</t>
  </si>
  <si>
    <t>Nach telefonischer Abstimmung mit Stefan Schäfer wird jetzt ein Einteilung in Topf 1 gewünscht und keine Zuordnung zu B-Pool (Topf 2), wie ursprünglich gewünscht.</t>
  </si>
  <si>
    <t>35001011</t>
  </si>
  <si>
    <t>TG Offenau</t>
  </si>
  <si>
    <t>TG Offenau I</t>
  </si>
  <si>
    <t>Offenau Rasen 1, Mühlweg, 74254 Offenau-Zentrum</t>
  </si>
  <si>
    <t>E KS 04</t>
  </si>
  <si>
    <t>Aramäer Heilbronn I</t>
  </si>
  <si>
    <t>FC Kirchhausen I</t>
  </si>
  <si>
    <t>Wenn möglich auch für 5er Mannschaftsstärke anmelden, wenn individuell für einen Spieltag gemeldet werden kann. Danke</t>
  </si>
  <si>
    <t>SC Ilsfeld I</t>
  </si>
  <si>
    <t>Heimspiele wochengleich mit den D-Juniorinnen und EII-Junioren</t>
  </si>
  <si>
    <t>SGM Eberstadt/Gellmersbach I</t>
  </si>
  <si>
    <t>Bitte in Topf 1 einteilen._x000D_
_x000D_
- Da unser Trainer beide Jugendmannschaften (E1 und E2) betreut, möchte wir bitten, die Spiele beiden Teams nach Möglichkeit Heimspiele nacheinander anzusetzen. Das könnte sicherstellen dass der Trainer bei beiden Spielen anwesend ist._x000D_
_x000D_
Anstoßzeiten_x000D_
- 09:30 Uhr E-Jugend, D-Jugend_x000D_
- 11:15 Uhr D-Jugend, C-Jugend, B-Jugend, A-Jugend (auch möglich)_x000D_
- 13:30 Uhr C-Jugend, B-Jugend, A-Jugend_x000D_
- 15:45 Uhr A-Jugend, Herren_x000D_
- 18:00 Uhr B-Jugend, D-Jugend, E-Jugend</t>
  </si>
  <si>
    <t>Spfr Lauffen I</t>
  </si>
  <si>
    <t>TSV Talheim I</t>
  </si>
  <si>
    <t>E KS 05</t>
  </si>
  <si>
    <t>Bitte in Topf 2 melden da wir viele Spieler im ersten Jahrgang haben und wir als_x000D_
kleiner Verein nicht so spielstark sind um im Topf 1 mitzuhalten.</t>
  </si>
  <si>
    <t>04.07.2025</t>
  </si>
  <si>
    <t>Bitte beide Mannschaften in den Topf zwei auslosen._x000D_
Begründung: vorwiegend jüngerer Jahrgang und körperlich eher schwächer</t>
  </si>
  <si>
    <t>Fürfeld Kunstrasen (Kleinfeld), Frankenstr., 74906 Bad Rappenau-Fürfeld</t>
  </si>
  <si>
    <t>SGM Gundelsheim Krumme Ebene am Neckar II</t>
  </si>
  <si>
    <t>Wir würden gerne beide Mannschaften in der E-Jugend in Topf 2 melden. Falls möglich, die E1 in einer etwas stärkeren Staffel und E2 in einer schwächeren Staffel. So oder so aber auf jeden Fall beide Mannschaften im schwächeren Topf 2.</t>
  </si>
  <si>
    <t>Neuenstadt Kunstrasen, Cleversulzbacher Str. 89, 74196 Neuenstadt am Kocher</t>
  </si>
  <si>
    <t>TSV Ellhofen I</t>
  </si>
  <si>
    <t>bitte in dem 2. bzw. B-Pool eintragen, wir haben noch einige jüngere Spieler und haben auch mit dem 2015er Jahrgang letzes Jahr im unteren Mittelfeld abgeschlossen. _x000D_
Heimspiele bitte Samstag früh um 10:00 Uhr direkt vor den E2 Junioren ansetzen und wo immer möglich, auch die Heimspiele der SGM Sülzbach Sulmtal D1 und D2 auf die gleichen Samstage legen.  Falls möglich, gerne auch diese Saison gleichviele bzw. ein Heimspiel mehr als Auswärtsspiele.</t>
  </si>
  <si>
    <t>E KS 06</t>
  </si>
  <si>
    <t>Aramäer Heilbronn II</t>
  </si>
  <si>
    <t>35001542</t>
  </si>
  <si>
    <t>FV Wüstenrot</t>
  </si>
  <si>
    <t>SGM FV Wüstenrot/Neuhütten/Neulautern</t>
  </si>
  <si>
    <t>Bitte für Topf 2 einplanen. Hauptsächlich jüngerer Jahrgang welcher in Topf 1 zu schwach wäre.</t>
  </si>
  <si>
    <t>Samstag 10:00 Uhr</t>
  </si>
  <si>
    <t>Ich bitte um Zuordnung der E1 zu Topf 2, da diese Mannschaft am Ende der Saison 24/25 den 6. Tabellenplatz hatte und insgesamt eher als spielschwach einzustufen ist._x000D_
HEIMSPIELE der E1 bitte ich aufgrund der Platzbelegung auf Samstags 10.00Uhr zu legen. Danke.</t>
  </si>
  <si>
    <t>Bitte C bis E-Jugend am selben Tag zu Hause wegen Heimspielverkauf und Platzaufbau_x000D_
_x000D_
E2-Jugend Beginn 10:00 Uhr</t>
  </si>
  <si>
    <t>SSV Auenstein I</t>
  </si>
  <si>
    <t>E + C am gleichen Tag</t>
  </si>
  <si>
    <t>Heimspiele zusammen mit c Junioren_x000D_
_x000D_
Mannschaft besteht größtenteils aus dem jüngeren Jahrgang und kann leistungstechnisch im Topf 1 nicht mithalten, daher bitte in Topf 2 einteilen</t>
  </si>
  <si>
    <t>Topf 2 - „Nur wenige Kinder der Mannschaft verfügen über das Potenzial, im Topf 2 gut mitzuhalten. Der Großteil des Teams bewegt sich leistungsmäßig deutlich darunter – wenn es einen Topf 3 gäbe, wäre dieser für die Mehrheit der Spieler am passendsten. Eine Einteilung in Topf 1 ist daher nicht zielführend.“</t>
  </si>
  <si>
    <t>E KS 07</t>
  </si>
  <si>
    <t>FSV Friedrichshaller SV III</t>
  </si>
  <si>
    <t>SGM Gundelsheim Krumme Ebene am Neckar I</t>
  </si>
  <si>
    <t>SGM Spfr. Widdern / SV Jagsthausen I</t>
  </si>
  <si>
    <t>Bitte aus leistungstechnischen Gründen in Topf 2 einteilen.</t>
  </si>
  <si>
    <t>31.07.2025</t>
  </si>
  <si>
    <t>Jagsthausen Rasen 1, Gartenstr. 24, 74249 Jagsthausen-Zentrum</t>
  </si>
  <si>
    <t>35000304</t>
  </si>
  <si>
    <t>TSV Duttenberg</t>
  </si>
  <si>
    <t>TSV Duttenberg I</t>
  </si>
  <si>
    <t>Spiele E1 und E2 hintereinander_x000D_
_x000D_
Nach telefonischer Rücksprache mit Jörg Weinberg wird eine Einteilung in Topf 2 gewünscht.</t>
  </si>
  <si>
    <t>Duttenberg Rasen, Zur Schön, 74177 Bad Friedrichshall-Duttenberg</t>
  </si>
  <si>
    <t>E KS 08</t>
  </si>
  <si>
    <t>SGM Eberstadt/Gellmersbach II</t>
  </si>
  <si>
    <t>die Heimspiele unserer E1 und E2 sollten möglichst am gleichen Tag nacheinander ausgetragen werden</t>
  </si>
  <si>
    <t>TSV Ellhofen II</t>
  </si>
  <si>
    <t>bitte in den 2. Topf eintragen._x000D_
Heimspiele bitte Samstag früh um 11:15 Uhr direkt nach der E1 Junioren ansetzen und wo immer möglich, auch die Heimspiele der SGM Sülzbach Sulmtal D1 und D2 auf die gleichen Samstage legen.  Falls möglich, gerne auch diese Saison gleichviele bzw. ein Heimspiel mehr als Auswärtsspiele.</t>
  </si>
  <si>
    <t>TSV Talheim II</t>
  </si>
  <si>
    <t>Topf 2 und wenn möglich E und D-Jugend nicht am selben Tag ein Heimspiel</t>
  </si>
  <si>
    <t>E KS 09</t>
  </si>
  <si>
    <t>Bitte in Topf 2 einteilen</t>
  </si>
  <si>
    <t>TSV Biberach I</t>
  </si>
  <si>
    <t>Bitte nicht zu I-er Mannschaften einteilen. Team ist nicht so stark.</t>
  </si>
  <si>
    <t>Bitte die E 1 in Pool B einteilen uns haben etliche Spieler in Richtung des VFR  Heilbronn verlassen_x000D_
Wir haben in der Mannschaft etliche Spieler die erst angefangen haben mit dem Fußball</t>
  </si>
  <si>
    <t>E KS 10</t>
  </si>
  <si>
    <t>Da wir in dieser Saison keine spielstarken Jahrgänge in unserer E-Jugend haben werden, möchten wir im Topf 2 gemeldet werden. Vielen Dank.</t>
  </si>
  <si>
    <t>Heimspiele in Massenbachhausen, am gleichen Samstag wie die E2 Junioren, Spielbeginn 10.00 Uhr gewünscht_x000D_
_x000D_
Einteilung in Pool B, da die leistungsstärksten Spieler, bei den D-Jun eingesetzt werden_x000D_
_x000D_
Am Wochenende 15. 05. und 16.05. findet in Massenbach und MassenbachHausen ein internationales Frisbee Turnier statt. Daher keine Heimspiele der Junioren in Massenbach und Massenbachhausen an diesem Wochenende.</t>
  </si>
  <si>
    <t>Massenbachhausen Rasen 1, Heilbronner Str. 56, 74252 Massenbachhausen</t>
  </si>
  <si>
    <t>E1 + E2 nacheinander, nicht wenn A+D daheim</t>
  </si>
  <si>
    <t>Ergänzung für Rückrunde: Heimspiele E1 + E2 bitte nacheinander ansetzen. Nicht am gleichen Tag wie die Heimspiele der D- und A-Junioren_x000D_
_x000D_
Die Heimspiele der EI- &amp; EiI- Junioren nicht an den gleichen Samstagen, wie das Heimspiel der A-Junioren der SGM TSV Niederhofen/Oberes Leintal ansetzen._x000D_
_x000D_
Die EI-Junioren bitte auch im B-Pool einplanen, da es ein spielschwaches Team ist.</t>
  </si>
  <si>
    <t>SGM TSV Meimsheim II</t>
  </si>
  <si>
    <t>SV Leingarten III</t>
  </si>
  <si>
    <t>TG Böckingen III</t>
  </si>
  <si>
    <t>E KS 11</t>
  </si>
  <si>
    <t>SC Oberes Zabergäu I</t>
  </si>
  <si>
    <t>leistungsbedingt bitte in Topf 2 einteilen. Spielstärke "mittel" _x000D_
Heimspiele unserer E1 und E2 bitte wieder zeitgleich ansetzen.</t>
  </si>
  <si>
    <t>Ich bitte um normale Zuordnung der E2 zu Topf 2._x000D_
HEIMSPIELE der E2 bitte ich aufgrund der Platzbelegung auf Samstags 11.30Uhr zu legen. Danke.</t>
  </si>
  <si>
    <t>SGM SG Stetten-Kleingartach/Oberes Leintal II</t>
  </si>
  <si>
    <t>Ergänzung für Rückrunde: Heimspiele E1 + E2 bitte nacheinander ansetzen. Nicht am gleichen Tag wie die Heimspiele der D- und A-Junioren_x000D_
_x000D_
Das Heimspiel der EII-&amp; EI-Junioren nicht am gleichen Samstag wie das Spiel der A-Junioren der SGM TSV Niederhofen/Oberes Leintal ansetzen._x000D_
_x000D_
Das Team der EII-Junioren bitte in Pool B einplanen.</t>
  </si>
  <si>
    <t>SGM TSV Meimsheim III</t>
  </si>
  <si>
    <t>Spfr Lauffen II</t>
  </si>
  <si>
    <t>SV Leingarten IV</t>
  </si>
  <si>
    <t>TSG Heilbronn IV</t>
  </si>
  <si>
    <t>E KS 12</t>
  </si>
  <si>
    <t>SC Amorbach IV</t>
  </si>
  <si>
    <t>SGM Neudenau/Siglingen II</t>
  </si>
  <si>
    <t>Samstag 11:45 Uhr</t>
  </si>
  <si>
    <t>Bitte die Heimspiele ab 11:45 Uhr wegen Platzverfügbarkeit</t>
  </si>
  <si>
    <t>SGM Neuenstadt III</t>
  </si>
  <si>
    <t>SGM TSV Hardthausen KoBra II</t>
  </si>
  <si>
    <t>bitte um spielfrei am Wochenende 27.+28.09.25, Grund: Brettacher Markt, Trainer und Spieler sind am Jugendstand eingeteilt_x000D_
Einteilung in Topf 2</t>
  </si>
  <si>
    <t>Spvgg Möckmühl III</t>
  </si>
  <si>
    <t>Spvgg Oedheim II</t>
  </si>
  <si>
    <t>TG Offenau II</t>
  </si>
  <si>
    <t>TSV Duttenberg II</t>
  </si>
  <si>
    <t>Spiele E1 und E2 hintereinander</t>
  </si>
  <si>
    <t>E KS 13</t>
  </si>
  <si>
    <t>FC Obersulm II</t>
  </si>
  <si>
    <t>SC Amorbach V</t>
  </si>
  <si>
    <t>SGM TSV Hardthausen KoBra III</t>
  </si>
  <si>
    <t>bitte um spielfrei am Wochenende 27.+28.09.25, Grund: Brettacher Markt, Trainer und Spieler sind am Jugendstand eingeteilt_x000D_
Einteilung Topf 2</t>
  </si>
  <si>
    <t>Sportplatz 1 Langenbeutingen, Schwabbacher Str., 74243 Langenbrettach-Langenbeutingen</t>
  </si>
  <si>
    <t>SV Sülzbach II</t>
  </si>
  <si>
    <t>TSV Erlenbach II</t>
  </si>
  <si>
    <t>35001627</t>
  </si>
  <si>
    <t>NK Croatia Heilbronn</t>
  </si>
  <si>
    <t>E KS 14</t>
  </si>
  <si>
    <t>Bitte um Einteilung in Topf 2, da viele Spieler erst aus der F-Jugend kommen</t>
  </si>
  <si>
    <t>Sontheim Rasen, Horkheimer Str., 74081 Heilbronn-Sontheim</t>
  </si>
  <si>
    <t>SC Ilsfeld II</t>
  </si>
  <si>
    <t>Heimspiele wochengleich mit den D-Juniorinnen und mit den EI-Junioren</t>
  </si>
  <si>
    <t>SGM Cleebronn/Botenheim/Eibensbach/Stockheim IV</t>
  </si>
  <si>
    <t>SGM SC Abstatt Heinriet II</t>
  </si>
  <si>
    <t>SSV Auenstein II</t>
  </si>
  <si>
    <t>Bitte die Heimspiele wenn möglich gemeinsam mit den anderen Jugendmannschaften. So können wir einen schönen Heimspieltag mit allen Jugenden inkl. Bewirtung organisieren, wäre schön wenn das möglich wäre!!</t>
  </si>
  <si>
    <t>TGV Eintracht Beilstein III</t>
  </si>
  <si>
    <t>Die Heimspiele unserer E3 und E4 sollten möglichst am gleichen Tag nacheinander ausgetragen werden.</t>
  </si>
  <si>
    <t>E3 + E4 zeitgleich</t>
  </si>
  <si>
    <t>E KS 15</t>
  </si>
  <si>
    <t>ASV Heilbronn III</t>
  </si>
  <si>
    <t>SGM Cleebronn/Botenheim/Eibensbach/Stockheim III</t>
  </si>
  <si>
    <t>Heimspiele in Massenbachhausen am gleichen Samstag wie die E1 Mannschaft,_x000D_
gewünschter Spielbeginn 11.30 Uhr_x000D_
_x000D_
Einteilung in Pool B, da die Spieler alle letztes Jahr noch bei den f-Junioren gespielt haben_x000D_
_x000D_
Am Wochenende 15. 05. und 16.05. findet in Massenbach und MassenbachHausen ein internationales Frisbee Turnier statt. Daher keine Heimspiele der Junioren in Massenbach und Massenbachhausen an diesem Wochenende.</t>
  </si>
  <si>
    <t>TG Böckingen IV</t>
  </si>
  <si>
    <t>TSV Biberach II</t>
  </si>
  <si>
    <t>E KS 16</t>
  </si>
  <si>
    <t>ASV Heilbronn IV</t>
  </si>
  <si>
    <t>SC Oberes Zabergäu II</t>
  </si>
  <si>
    <t>E1 + E2 gleichzeitig</t>
  </si>
  <si>
    <t>Leistungsbedingt bitte in Topf 2 einteilen. Spielstärke der E2 mittel bis schwach._x000D_
Heimspiele bitte wieder zeitgleich mit der E1 ansetzen.</t>
  </si>
  <si>
    <t>SGM Güglingen / Frauenzimmern</t>
  </si>
  <si>
    <t>gewünschte Anstosszeit 10.00 Uhr_x000D_
_x000D_
Topf 2 aufgrund der Leistungsstärke gewünscht</t>
  </si>
  <si>
    <t>SGM TSV Meimsheim IV</t>
  </si>
  <si>
    <t>Spfr Lauffen III</t>
  </si>
  <si>
    <t>E HL KS</t>
  </si>
  <si>
    <t>E KS 17</t>
  </si>
  <si>
    <t>1. FC Igersheim I</t>
  </si>
  <si>
    <t>35000281</t>
  </si>
  <si>
    <t>TSV Dörzbach</t>
  </si>
  <si>
    <t>SGM Dörzbach/Klepsau/Hohebach I</t>
  </si>
  <si>
    <t>Bitte die Heimspiele der E1 + E2 am gleichen Tag nacheinander planen._x000D_
Start E2: 17:30Uhr_x000D_
Start E1: 18:30Uhr</t>
  </si>
  <si>
    <t>35000319</t>
  </si>
  <si>
    <t>SV Edelfingen</t>
  </si>
  <si>
    <t>SGM SV Edelfingen/SV Oberbalbach/DJK Unterbalbach I</t>
  </si>
  <si>
    <t>E1 nicht mit E2+E3</t>
  </si>
  <si>
    <t>Wenn wir 2 Heimspiele am gleichen Tag haben, wäre es optimal, wenn sie hintereinander stattfinden._x000D_
Am besten wäre es, wenn die 2.+3. Mannschaft dann gemeinsam ein Heimspiel haben. 3. Mannschaft sollte dann um 17:30 Uhr starten, 2. Mannschaft um 18:30 Uhr, wenn sich das einrichten lässt.</t>
  </si>
  <si>
    <t>Sportplatz 1 Edelfingen, Theobaldstr., 97980 Bad Mergentheim-Edelfingen</t>
  </si>
  <si>
    <t>SGM SV Wachbach/TSV Althausen-Neunkirchen I</t>
  </si>
  <si>
    <t>SGM VfR Gommersdorf/TSV Krautheim I</t>
  </si>
  <si>
    <t>E1+E2 nicht am gleichen Tag</t>
  </si>
  <si>
    <t>Heimspiele E1 und E2 nicht am gleichen Tag</t>
  </si>
  <si>
    <t>35001163</t>
  </si>
  <si>
    <t>SG Sindringen/Ernsbach</t>
  </si>
  <si>
    <t>E KS 18</t>
  </si>
  <si>
    <t>SGM Sindringen/Ernsbach I - Kickers Mittleres Kochertal</t>
  </si>
  <si>
    <t>13.08.2025</t>
  </si>
  <si>
    <t>Sportplatz 1 Ernsbach, Forchtenberger Str. 25, 74670 Forchtenberg-Ernsbach</t>
  </si>
  <si>
    <t>E1+E2 gleichzeitig</t>
  </si>
  <si>
    <t>Ansetzungen bitte zeitgleich mit Mannschaft E 2- auch auswärts</t>
  </si>
  <si>
    <t>Sportplatz 2 Bitzfeld, Hasenweg, 74626 Bretzfeld-Bitzfeld</t>
  </si>
  <si>
    <t>SGM TSV Ingelfingen/Nagelsberg I</t>
  </si>
  <si>
    <t>Falls möglich würden wir gerne mit unserer E1 und E2 "Doppel-Heimspieltage" durchführen und die Heimspiele am gleichen Tag direkt hintereinander austragen.</t>
  </si>
  <si>
    <t>Sportplatz am Kocher, Nagelsberg, Würzburger Str. 44, 74653 Künzelsau-Nagelsberg</t>
  </si>
  <si>
    <t>SGM TSV Zweiflingen/Ohrnberg I</t>
  </si>
  <si>
    <t>Wir möchten gerne die Heimspiele zeitgleich mit der SGM TSV Zweiflingen/Ohrnberg II bestreiten. Da wir noch zusätzlich eine SGM TSV Zweiflingen/Ohrnberg III E-Jungend Mannschaft melden haben wir knappe Trainer Ressourcen.</t>
  </si>
  <si>
    <t>SSV Gaisbach I</t>
  </si>
  <si>
    <t>E KS 19</t>
  </si>
  <si>
    <t>1. FC Igersheim II</t>
  </si>
  <si>
    <t>35001110</t>
  </si>
  <si>
    <t>TSV Röttingen</t>
  </si>
  <si>
    <t>SGM Röttingen/Taubertal</t>
  </si>
  <si>
    <t>Sportplatz 1, TSV Röttingen, Industriestr., 97285 Röttingen-Zentrum</t>
  </si>
  <si>
    <t>SGM SV Wachbach/TSV Althausen-Neunkirchen II</t>
  </si>
  <si>
    <t>Sportplatz 1 Neunkirchen, Im Wolfental, 97980 Bad Mergentheim-Neunkirchen</t>
  </si>
  <si>
    <t>Sportplatz 1 Elpersheim, Wallgraben, 97990 Weikersheim-Elpersheim</t>
  </si>
  <si>
    <t>E KS 20</t>
  </si>
  <si>
    <t>Sportplatz 1, FV Künzelsau, Hallstattweg 36, 74653 Künzelsau-Zentrum</t>
  </si>
  <si>
    <t>SGM Sindringen/Ernsbach II - Kickers Mittleres Kochertal</t>
  </si>
  <si>
    <t>E2 + E4 nacheinander</t>
  </si>
  <si>
    <t>Heimspiele am gleichen Tag wie E4 (nacheinander)</t>
  </si>
  <si>
    <t>leider müssen wir die 2 Heimspiele Auswärtsspielen in der Vorrunde._x000D_
Rasen Sanierung von 28.07.25 bis   29.09.25 Stadion Bretzfeld _x000D_
_x000D_
Grüße_x000D_
S.Usta _x000D_
Jugendleiter_x000D_
Trainer _x000D_
TSG BRETZFELD</t>
  </si>
  <si>
    <t>TSV Kupferzell I</t>
  </si>
  <si>
    <t>E KS 21</t>
  </si>
  <si>
    <t>SGM Sindringen/Ernsbach III - Kickers Mittleres Kochertal</t>
  </si>
  <si>
    <t>Ansetzungen bitte zeitgleich mit Mannschaft E 1- auch auswärts</t>
  </si>
  <si>
    <t>SGM TSV Zweiflingen/Ohrnberg II</t>
  </si>
  <si>
    <t>Wir möchten gerne die Heimspiele zeitgleich mit der SGM TSV Zweiflingen/Ohrnberg I bestreiten. Da wir noch zusätzlich eine SGM TSV Zweiflingen/Ohrnberg III E-Jungend Mannschaft melden haben wir knappe Trainer Ressourcen.</t>
  </si>
  <si>
    <t>TSV Kupferzell II</t>
  </si>
  <si>
    <t>E KS 22</t>
  </si>
  <si>
    <t>1. FC Igersheim III</t>
  </si>
  <si>
    <t>SGM FC Creglingen/Bieberehren</t>
  </si>
  <si>
    <t>Hallo, wenn möglich würden wir diese Saison in einer schwächeren Gruppe eingeteilt werden. Grund ist das wir gerade so eine Mannschaft zusammen bekommen und die meisten aus dem jüngeren Jahrgang sind. Danke Mit sportlichen Grüßen Holger Wundling Jugendleiter</t>
  </si>
  <si>
    <t>SGM SV Edelfingen/SV Oberbalbach/DJK Unterbalbach II</t>
  </si>
  <si>
    <t>E2+E3 nacheinander</t>
  </si>
  <si>
    <t>SGM SV Edelfingen/SV Oberbalbach/DJK Unterbalbach III</t>
  </si>
  <si>
    <t>SGM SV Wachbach/TSV Althausen-Neunkirchen III</t>
  </si>
  <si>
    <t>E1+E3 nacheinander</t>
  </si>
  <si>
    <t>Heimspiele der 1. und 3. Mannschaft immer am gleichen Spielort wenn möglich. Danke</t>
  </si>
  <si>
    <t>SGM Weikersheim Vorbach-Tauber III</t>
  </si>
  <si>
    <t>E KS 23</t>
  </si>
  <si>
    <t>SGM Amrichshausen/Morsbach</t>
  </si>
  <si>
    <t>SGM Dörzbach/Klepsau/Hohebach II</t>
  </si>
  <si>
    <t>E1+E2 nacheinander</t>
  </si>
  <si>
    <t>SGM VfR Gommersdorf/TSV Krautheim II</t>
  </si>
  <si>
    <t>SSV Gaisbach II</t>
  </si>
  <si>
    <t>E KS 24</t>
  </si>
  <si>
    <t>SGM DJK-TSV Bieringen/Schöntal III</t>
  </si>
  <si>
    <t>SGM Sindringen/Ernsbach IV - Kickers Mittleres Kochertal</t>
  </si>
  <si>
    <t>Heimspiele am gleichen Tag wie E2 (nacheinander)</t>
  </si>
  <si>
    <t>SGM TSV Ingelfingen/Nagelsberg II</t>
  </si>
  <si>
    <t>SGM TSV Pfedelbach/Jugendteam TSV III</t>
  </si>
  <si>
    <t>SGM TSV Zweiflingen/Ohrnberg III</t>
  </si>
  <si>
    <t>352302/1</t>
  </si>
  <si>
    <t>352303/2</t>
  </si>
  <si>
    <t>352304/3</t>
  </si>
  <si>
    <t>352307/6</t>
  </si>
  <si>
    <t>352306/5</t>
  </si>
  <si>
    <t>352305/4</t>
  </si>
  <si>
    <t>352300/1</t>
  </si>
  <si>
    <t>352301/2</t>
  </si>
  <si>
    <t>Staffel-ID</t>
  </si>
  <si>
    <t>SZ</t>
  </si>
  <si>
    <t>351900/1</t>
  </si>
  <si>
    <t>351913/1</t>
  </si>
  <si>
    <t>352308/1</t>
  </si>
  <si>
    <t>352309/2</t>
  </si>
  <si>
    <t>352311/2</t>
  </si>
  <si>
    <t>352310/1</t>
  </si>
  <si>
    <t>352313/4</t>
  </si>
  <si>
    <t>352315/6</t>
  </si>
  <si>
    <t>352312/3</t>
  </si>
  <si>
    <t>352317/8</t>
  </si>
  <si>
    <t>352314/5</t>
  </si>
  <si>
    <t>352316/7</t>
  </si>
  <si>
    <t>352295/2</t>
  </si>
  <si>
    <t>352294/1</t>
  </si>
  <si>
    <t>352296/1</t>
  </si>
  <si>
    <t>352298/2</t>
  </si>
  <si>
    <t>352299/3</t>
  </si>
  <si>
    <t>350128/4</t>
  </si>
  <si>
    <t>351600/1</t>
  </si>
  <si>
    <t>352318/1</t>
  </si>
  <si>
    <t>352319/2</t>
  </si>
  <si>
    <t>352321/2</t>
  </si>
  <si>
    <t>352320/1</t>
  </si>
  <si>
    <t>352327/6</t>
  </si>
  <si>
    <t>352324/3</t>
  </si>
  <si>
    <t>352325/4</t>
  </si>
  <si>
    <t>352328/7</t>
  </si>
  <si>
    <t>352329/8</t>
  </si>
  <si>
    <t>352323/2</t>
  </si>
  <si>
    <t>350129/10</t>
  </si>
  <si>
    <t>352322/1</t>
  </si>
  <si>
    <t>352326/5</t>
  </si>
  <si>
    <t>350130/11</t>
  </si>
  <si>
    <t>350131/12</t>
  </si>
  <si>
    <t>352330/9</t>
  </si>
  <si>
    <t>352331/1</t>
  </si>
  <si>
    <t>352332/2</t>
  </si>
  <si>
    <t>352333/3</t>
  </si>
  <si>
    <t>352334/4</t>
  </si>
  <si>
    <t>352335/5</t>
  </si>
  <si>
    <t>352336/6</t>
  </si>
  <si>
    <t>352337/7</t>
  </si>
  <si>
    <t>352338/8</t>
  </si>
  <si>
    <t>352339/9</t>
  </si>
  <si>
    <t>352340/10</t>
  </si>
  <si>
    <t>352341/11</t>
  </si>
  <si>
    <t>352342/12</t>
  </si>
  <si>
    <t>352343/13</t>
  </si>
  <si>
    <t>352344/14</t>
  </si>
  <si>
    <t>352345/15</t>
  </si>
  <si>
    <t>352346/16</t>
  </si>
  <si>
    <t>352347/17</t>
  </si>
  <si>
    <t>352348/18</t>
  </si>
  <si>
    <t>352349/19</t>
  </si>
  <si>
    <t>352350/20</t>
  </si>
  <si>
    <t>352351/21</t>
  </si>
  <si>
    <t>352352/22</t>
  </si>
  <si>
    <t>350132/23</t>
  </si>
  <si>
    <t>350133/24</t>
  </si>
  <si>
    <t>A RS N1</t>
  </si>
  <si>
    <t>B RS N1</t>
  </si>
  <si>
    <t>C RS 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</si>
</sst>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amily val="2"/>
    </font>
    <font>
      <sz val="10"/>
      <name val="Arial"/>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0" borderId="0" xfId="0" applyAlignment="1">
      <alignment wrapText="1"/>
    </xf>
    <xf numFmtId="0" fontId="0" fillId="2" borderId="0" xfId="0" applyFill="1"/>
    <xf numFmtId="0" fontId="0" fillId="3" borderId="0" xfId="0" applyFill="1"/>
    <xf numFmtId="0" fontId="2" fillId="2" borderId="0" xfId="0" applyFont="1" applyFill="1"/>
    <xf numFmtId="14" fontId="0" fillId="0" borderId="0" xfId="0" applyNumberFormat="1"/>
    <xf numFmtId="0" fontId="0" fillId="0" borderId="0" xfId="0" quotePrefix="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9ADE0-D844-4599-94B1-1A6DE0AD90F4}">
  <dimension ref="A1:AI574"/>
  <sheetViews>
    <sheetView tabSelected="1" topLeftCell="B1" workbookViewId="0">
      <selection activeCell="L4" sqref="L4:L8"/>
    </sheetView>
  </sheetViews>
  <sheetFormatPr baseColWidth="10" defaultRowHeight="12.75" outlineLevelCol="1" x14ac:dyDescent="0.2"/>
  <cols>
    <col min="1" max="1" width="53" hidden="1" customWidth="1"/>
    <col min="2" max="2" width="11.7109375" customWidth="1"/>
    <col min="3" max="3" width="35.140625" customWidth="1"/>
    <col min="4" max="7" width="10.7109375" customWidth="1"/>
    <col min="8" max="13" width="15.7109375" customWidth="1"/>
    <col min="14" max="14" width="7.7109375" customWidth="1"/>
    <col min="15" max="15" width="31.28515625" customWidth="1"/>
    <col min="16" max="16" width="11.7109375" customWidth="1" outlineLevel="1"/>
    <col min="17" max="17" width="7.7109375" customWidth="1" outlineLevel="1"/>
    <col min="18" max="23" width="11.7109375" customWidth="1" outlineLevel="1"/>
    <col min="24" max="24" width="11.7109375" customWidth="1"/>
    <col min="25" max="25" width="16.42578125" customWidth="1"/>
    <col min="26" max="26" width="14.85546875" customWidth="1" outlineLevel="1" collapsed="1"/>
    <col min="27" max="27" width="39.140625" customWidth="1" outlineLevel="1"/>
    <col min="28" max="28" width="14.85546875" customWidth="1" outlineLevel="1"/>
    <col min="29" max="29" width="39.140625" customWidth="1" outlineLevel="1"/>
    <col min="30" max="30" width="14.85546875" customWidth="1" outlineLevel="1"/>
    <col min="31" max="31" width="39.140625" customWidth="1" outlineLevel="1"/>
    <col min="32" max="32" width="46.28515625" customWidth="1"/>
    <col min="33" max="35" width="9.140625" customWidth="1"/>
    <col min="36" max="258" width="8.85546875" customWidth="1"/>
  </cols>
  <sheetData>
    <row r="1" spans="1:35" x14ac:dyDescent="0.2">
      <c r="B1" s="1" t="s">
        <v>0</v>
      </c>
    </row>
    <row r="3" spans="1:35" x14ac:dyDescent="0.2">
      <c r="B3" s="1" t="s">
        <v>1</v>
      </c>
      <c r="C3" s="1" t="s">
        <v>2</v>
      </c>
      <c r="D3" s="1" t="s">
        <v>3</v>
      </c>
      <c r="E3" s="1" t="s">
        <v>4</v>
      </c>
      <c r="F3" s="1" t="s">
        <v>5</v>
      </c>
      <c r="G3" s="1" t="s">
        <v>6</v>
      </c>
      <c r="H3" s="1" t="s">
        <v>7</v>
      </c>
      <c r="I3" s="1" t="s">
        <v>8</v>
      </c>
      <c r="J3" s="1" t="s">
        <v>9</v>
      </c>
      <c r="K3" s="1" t="s">
        <v>10</v>
      </c>
      <c r="L3" s="1" t="s">
        <v>1355</v>
      </c>
      <c r="M3" s="1" t="s">
        <v>1356</v>
      </c>
      <c r="N3" s="1" t="s">
        <v>11</v>
      </c>
      <c r="O3" s="1" t="s">
        <v>12</v>
      </c>
      <c r="P3" s="1" t="s">
        <v>13</v>
      </c>
      <c r="Q3" s="1" t="s">
        <v>14</v>
      </c>
      <c r="R3" s="1" t="s">
        <v>15</v>
      </c>
      <c r="S3" s="1" t="s">
        <v>16</v>
      </c>
      <c r="T3" s="1" t="s">
        <v>17</v>
      </c>
      <c r="U3" s="1" t="s">
        <v>18</v>
      </c>
      <c r="V3" s="1" t="s">
        <v>19</v>
      </c>
      <c r="W3" s="1" t="s">
        <v>20</v>
      </c>
      <c r="X3" s="1"/>
      <c r="Y3" s="1" t="s">
        <v>21</v>
      </c>
      <c r="Z3" s="1" t="s">
        <v>22</v>
      </c>
      <c r="AA3" s="1" t="s">
        <v>23</v>
      </c>
      <c r="AB3" s="1" t="s">
        <v>24</v>
      </c>
      <c r="AC3" s="1" t="s">
        <v>25</v>
      </c>
      <c r="AD3" s="1" t="s">
        <v>26</v>
      </c>
      <c r="AE3" s="1" t="s">
        <v>27</v>
      </c>
      <c r="AF3" s="1" t="s">
        <v>28</v>
      </c>
      <c r="AG3" t="s">
        <v>29</v>
      </c>
      <c r="AH3" t="s">
        <v>30</v>
      </c>
      <c r="AI3" t="s">
        <v>31</v>
      </c>
    </row>
    <row r="4" spans="1:35" x14ac:dyDescent="0.2">
      <c r="A4" t="str">
        <f>B4&amp;C4&amp;H4&amp;N4</f>
        <v>35002312VfR Heilbronn 96/18A-Junioren1</v>
      </c>
      <c r="B4" t="s">
        <v>32</v>
      </c>
      <c r="C4" t="s">
        <v>33</v>
      </c>
      <c r="D4" t="s">
        <v>34</v>
      </c>
      <c r="E4" t="s">
        <v>35</v>
      </c>
      <c r="F4" t="s">
        <v>36</v>
      </c>
      <c r="G4">
        <v>3</v>
      </c>
      <c r="H4" t="s">
        <v>37</v>
      </c>
      <c r="I4" t="s">
        <v>38</v>
      </c>
      <c r="J4" t="s">
        <v>39</v>
      </c>
      <c r="K4" s="2"/>
      <c r="L4" s="2"/>
      <c r="M4" s="2"/>
      <c r="N4">
        <v>1</v>
      </c>
      <c r="O4" t="s">
        <v>33</v>
      </c>
      <c r="P4" t="s">
        <v>40</v>
      </c>
      <c r="Q4" t="s">
        <v>40</v>
      </c>
      <c r="R4" t="s">
        <v>41</v>
      </c>
      <c r="U4" t="s">
        <v>42</v>
      </c>
      <c r="V4" t="s">
        <v>43</v>
      </c>
      <c r="W4" t="s">
        <v>43</v>
      </c>
      <c r="Y4" t="s">
        <v>44</v>
      </c>
      <c r="Z4" t="s">
        <v>45</v>
      </c>
      <c r="AA4" t="s">
        <v>46</v>
      </c>
      <c r="AB4" t="s">
        <v>43</v>
      </c>
      <c r="AC4" t="s">
        <v>43</v>
      </c>
      <c r="AD4" t="s">
        <v>43</v>
      </c>
      <c r="AE4" t="s">
        <v>43</v>
      </c>
      <c r="AF4" t="str">
        <f>AA4</f>
        <v>Heilbronn Frankenstadion Kunstrasen, Badstr. 100, 74072 Heilbronn-Zentrum</v>
      </c>
      <c r="AG4" t="str">
        <f>TRIM(MID(AF4, FIND(", ", AF4)+2, FIND(", ", AF4, FIND(", ", AF4)+1) - FIND(", ", AF4) - 2))</f>
        <v>Badstr. 100</v>
      </c>
      <c r="AH4" t="str">
        <f>_xlfn.TEXTBEFORE(_xlfn.TEXTAFTER(AF4, ", ", 2), " ")</f>
        <v>74072</v>
      </c>
      <c r="AI4" t="str">
        <f>_xlfn.TEXTAFTER(_xlfn.TEXTAFTER(AF4, ", ", 2), " ")</f>
        <v>Heilbronn-Zentrum</v>
      </c>
    </row>
    <row r="5" spans="1:35" x14ac:dyDescent="0.2">
      <c r="A5" t="str">
        <f>B5&amp;C5&amp;H5&amp;N5</f>
        <v>35001207SV SchluchternA-Junioren1</v>
      </c>
      <c r="B5" t="s">
        <v>60</v>
      </c>
      <c r="C5" t="s">
        <v>61</v>
      </c>
      <c r="D5" t="s">
        <v>34</v>
      </c>
      <c r="E5" t="s">
        <v>35</v>
      </c>
      <c r="F5" t="s">
        <v>36</v>
      </c>
      <c r="G5">
        <v>3</v>
      </c>
      <c r="H5" t="s">
        <v>37</v>
      </c>
      <c r="I5" t="s">
        <v>51</v>
      </c>
      <c r="J5" t="s">
        <v>52</v>
      </c>
      <c r="L5" s="2"/>
      <c r="M5" s="2"/>
      <c r="N5">
        <v>1</v>
      </c>
      <c r="O5" t="s">
        <v>61</v>
      </c>
      <c r="P5" t="s">
        <v>40</v>
      </c>
      <c r="Q5" t="s">
        <v>40</v>
      </c>
      <c r="R5" t="s">
        <v>41</v>
      </c>
      <c r="U5" t="s">
        <v>42</v>
      </c>
      <c r="V5" t="s">
        <v>43</v>
      </c>
      <c r="W5" t="s">
        <v>43</v>
      </c>
      <c r="Y5" t="s">
        <v>62</v>
      </c>
      <c r="Z5" t="s">
        <v>45</v>
      </c>
      <c r="AA5" t="s">
        <v>63</v>
      </c>
      <c r="AB5" t="s">
        <v>43</v>
      </c>
      <c r="AC5" t="s">
        <v>43</v>
      </c>
      <c r="AD5" t="s">
        <v>43</v>
      </c>
      <c r="AE5" t="s">
        <v>43</v>
      </c>
      <c r="AF5" t="str">
        <f>AA5</f>
        <v>Leingarten Kunstrasen, Egarten, 74211 Leingarten-Großgartach</v>
      </c>
      <c r="AG5" t="str">
        <f>TRIM(MID(AF5, FIND(", ", AF5)+2, FIND(", ", AF5, FIND(", ", AF5)+1) - FIND(", ", AF5) - 2))</f>
        <v>Egarten</v>
      </c>
      <c r="AH5" t="str">
        <f>_xlfn.TEXTBEFORE(_xlfn.TEXTAFTER(AF5, ", ", 2), " ")</f>
        <v>74211</v>
      </c>
      <c r="AI5" t="str">
        <f>_xlfn.TEXTAFTER(_xlfn.TEXTAFTER(AF5, ", ", 2), " ")</f>
        <v>Leingarten-Großgartach</v>
      </c>
    </row>
    <row r="6" spans="1:35" x14ac:dyDescent="0.2">
      <c r="A6" t="str">
        <f>B6&amp;C6&amp;H6&amp;N6</f>
        <v>35001002TSG ÖhringenA-Junioren1</v>
      </c>
      <c r="B6" t="s">
        <v>64</v>
      </c>
      <c r="C6" t="s">
        <v>65</v>
      </c>
      <c r="D6" t="s">
        <v>66</v>
      </c>
      <c r="E6" t="s">
        <v>35</v>
      </c>
      <c r="F6" t="s">
        <v>50</v>
      </c>
      <c r="G6">
        <v>3</v>
      </c>
      <c r="H6" t="s">
        <v>37</v>
      </c>
      <c r="I6" t="s">
        <v>51</v>
      </c>
      <c r="J6" t="s">
        <v>52</v>
      </c>
      <c r="L6" s="2"/>
      <c r="M6" s="2"/>
      <c r="N6">
        <v>1</v>
      </c>
      <c r="O6" t="s">
        <v>65</v>
      </c>
      <c r="P6" t="s">
        <v>40</v>
      </c>
      <c r="Q6" t="s">
        <v>40</v>
      </c>
      <c r="R6" t="s">
        <v>41</v>
      </c>
      <c r="U6" t="s">
        <v>42</v>
      </c>
      <c r="V6" t="s">
        <v>43</v>
      </c>
      <c r="W6" t="s">
        <v>43</v>
      </c>
      <c r="Y6" t="s">
        <v>43</v>
      </c>
      <c r="Z6" t="s">
        <v>45</v>
      </c>
      <c r="AA6" t="s">
        <v>67</v>
      </c>
      <c r="AB6" t="s">
        <v>43</v>
      </c>
      <c r="AC6" t="s">
        <v>43</v>
      </c>
      <c r="AD6" t="s">
        <v>43</v>
      </c>
      <c r="AE6" t="s">
        <v>43</v>
      </c>
      <c r="AF6" t="str">
        <f>AA6</f>
        <v>Kunstrasenplatz TSG Öhringen, Pfaffenmühlweg 44, 74613 Öhringen-Zentrum</v>
      </c>
      <c r="AG6" t="str">
        <f>TRIM(MID(AF6, FIND(", ", AF6)+2, FIND(", ", AF6, FIND(", ", AF6)+1) - FIND(", ", AF6) - 2))</f>
        <v>Pfaffenmühlweg 44</v>
      </c>
      <c r="AH6" t="str">
        <f>_xlfn.TEXTBEFORE(_xlfn.TEXTAFTER(AF6, ", ", 2), " ")</f>
        <v>74613</v>
      </c>
      <c r="AI6" t="str">
        <f>_xlfn.TEXTAFTER(_xlfn.TEXTAFTER(AF6, ", ", 2), " ")</f>
        <v>Öhringen-Zentrum</v>
      </c>
    </row>
    <row r="7" spans="1:35" x14ac:dyDescent="0.2">
      <c r="A7" t="str">
        <f>B7&amp;C7&amp;H7&amp;N7</f>
        <v>35000636FSV HollenbachA-Junioren1</v>
      </c>
      <c r="B7" t="s">
        <v>47</v>
      </c>
      <c r="C7" t="s">
        <v>48</v>
      </c>
      <c r="D7" t="s">
        <v>49</v>
      </c>
      <c r="E7" t="s">
        <v>35</v>
      </c>
      <c r="F7" t="s">
        <v>50</v>
      </c>
      <c r="G7">
        <v>3</v>
      </c>
      <c r="H7" t="s">
        <v>37</v>
      </c>
      <c r="I7" t="s">
        <v>51</v>
      </c>
      <c r="J7" t="s">
        <v>52</v>
      </c>
      <c r="L7" s="2"/>
      <c r="M7" s="2"/>
      <c r="N7">
        <v>1</v>
      </c>
      <c r="O7" t="s">
        <v>48</v>
      </c>
      <c r="P7" t="s">
        <v>40</v>
      </c>
      <c r="Q7" t="s">
        <v>53</v>
      </c>
      <c r="R7" t="s">
        <v>41</v>
      </c>
      <c r="U7" t="s">
        <v>42</v>
      </c>
      <c r="V7" t="s">
        <v>43</v>
      </c>
      <c r="W7" t="s">
        <v>43</v>
      </c>
      <c r="Y7" t="s">
        <v>54</v>
      </c>
      <c r="Z7" t="s">
        <v>45</v>
      </c>
      <c r="AA7" t="s">
        <v>55</v>
      </c>
      <c r="AB7" t="s">
        <v>43</v>
      </c>
      <c r="AC7" t="s">
        <v>43</v>
      </c>
      <c r="AD7" t="s">
        <v>43</v>
      </c>
      <c r="AE7" t="s">
        <v>43</v>
      </c>
      <c r="AF7" t="str">
        <f>AA7</f>
        <v>Jako Arena (Kunstrasenplatz), Am Sportplatz 40, 74673 Mulfingen-Hollenbach</v>
      </c>
      <c r="AG7" t="str">
        <f>TRIM(MID(AF7, FIND(", ", AF7)+2, FIND(", ", AF7, FIND(", ", AF7)+1) - FIND(", ", AF7) - 2))</f>
        <v>Am Sportplatz 40</v>
      </c>
      <c r="AH7" t="str">
        <f>_xlfn.TEXTBEFORE(_xlfn.TEXTAFTER(AF7, ", ", 2), " ")</f>
        <v>74673</v>
      </c>
      <c r="AI7" t="str">
        <f>_xlfn.TEXTAFTER(_xlfn.TEXTAFTER(AF7, ", ", 2), " ")</f>
        <v>Mulfingen-Hollenbach</v>
      </c>
    </row>
    <row r="8" spans="1:35" x14ac:dyDescent="0.2">
      <c r="A8" t="str">
        <f>B8&amp;C8&amp;H8&amp;N8</f>
        <v>35000533Spfr Schwäbisch HallA-Junioren1</v>
      </c>
      <c r="B8" t="s">
        <v>56</v>
      </c>
      <c r="C8" t="s">
        <v>57</v>
      </c>
      <c r="D8" t="s">
        <v>58</v>
      </c>
      <c r="E8" t="s">
        <v>35</v>
      </c>
      <c r="F8" t="s">
        <v>50</v>
      </c>
      <c r="G8">
        <v>12</v>
      </c>
      <c r="H8" t="s">
        <v>37</v>
      </c>
      <c r="I8" t="s">
        <v>51</v>
      </c>
      <c r="J8" t="s">
        <v>52</v>
      </c>
      <c r="L8" s="2"/>
      <c r="M8" s="2"/>
      <c r="N8">
        <v>1</v>
      </c>
      <c r="O8" t="s">
        <v>57</v>
      </c>
      <c r="P8" t="s">
        <v>40</v>
      </c>
      <c r="Q8" t="s">
        <v>40</v>
      </c>
      <c r="R8" t="s">
        <v>41</v>
      </c>
      <c r="U8" t="s">
        <v>42</v>
      </c>
      <c r="V8" t="s">
        <v>43</v>
      </c>
      <c r="W8" t="s">
        <v>43</v>
      </c>
      <c r="Y8" t="s">
        <v>43</v>
      </c>
      <c r="Z8" t="s">
        <v>45</v>
      </c>
      <c r="AA8" t="s">
        <v>59</v>
      </c>
      <c r="AB8" t="s">
        <v>43</v>
      </c>
      <c r="AC8" t="s">
        <v>43</v>
      </c>
      <c r="AD8" t="s">
        <v>43</v>
      </c>
      <c r="AE8" t="s">
        <v>43</v>
      </c>
      <c r="AF8" t="str">
        <f>AA8</f>
        <v>Kunstrasenplatz am Schenkenseestadion, Schenkenseestr., 74523 Schwäbisch Hall</v>
      </c>
      <c r="AG8" t="str">
        <f>TRIM(MID(AF8, FIND(", ", AF8)+2, FIND(", ", AF8, FIND(", ", AF8)+1) - FIND(", ", AF8) - 2))</f>
        <v>Schenkenseestr.</v>
      </c>
      <c r="AH8" t="str">
        <f>_xlfn.TEXTBEFORE(_xlfn.TEXTAFTER(AF8, ", ", 2), " ")</f>
        <v>74523</v>
      </c>
      <c r="AI8" t="str">
        <f>_xlfn.TEXTAFTER(_xlfn.TEXTAFTER(AF8, ", ", 2), " ")</f>
        <v>Schwäbisch Hall</v>
      </c>
    </row>
    <row r="9" spans="1:35" x14ac:dyDescent="0.2">
      <c r="A9" t="str">
        <f>B9&amp;C9&amp;H9&amp;N9</f>
        <v>35000404TV FleinA-Junioren1</v>
      </c>
      <c r="B9" t="s">
        <v>109</v>
      </c>
      <c r="C9" t="s">
        <v>110</v>
      </c>
      <c r="D9" t="s">
        <v>34</v>
      </c>
      <c r="E9" t="s">
        <v>35</v>
      </c>
      <c r="F9" t="s">
        <v>36</v>
      </c>
      <c r="G9">
        <v>3</v>
      </c>
      <c r="H9" t="s">
        <v>37</v>
      </c>
      <c r="I9" t="s">
        <v>70</v>
      </c>
      <c r="J9" t="s">
        <v>71</v>
      </c>
      <c r="K9" s="2" t="s">
        <v>1416</v>
      </c>
      <c r="L9" s="2" t="s">
        <v>1375</v>
      </c>
      <c r="M9" s="2">
        <v>8</v>
      </c>
      <c r="N9">
        <v>1</v>
      </c>
      <c r="O9" t="s">
        <v>110</v>
      </c>
      <c r="P9" t="s">
        <v>40</v>
      </c>
      <c r="Q9" t="s">
        <v>40</v>
      </c>
      <c r="R9" t="s">
        <v>41</v>
      </c>
      <c r="U9" t="s">
        <v>42</v>
      </c>
      <c r="V9" t="s">
        <v>43</v>
      </c>
      <c r="W9" t="s">
        <v>43</v>
      </c>
      <c r="Y9" t="s">
        <v>43</v>
      </c>
      <c r="Z9" t="s">
        <v>45</v>
      </c>
      <c r="AA9" t="s">
        <v>111</v>
      </c>
      <c r="AB9" t="s">
        <v>43</v>
      </c>
      <c r="AC9" t="s">
        <v>43</v>
      </c>
      <c r="AD9" t="s">
        <v>43</v>
      </c>
      <c r="AE9" t="s">
        <v>43</v>
      </c>
      <c r="AF9" t="str">
        <f>AA9</f>
        <v>Flein Rasen (Stadion), Talheimer Str. 1, 74223 Flein-Zentrum</v>
      </c>
      <c r="AG9" t="str">
        <f>TRIM(MID(AF9, FIND(", ", AF9)+2, FIND(", ", AF9, FIND(", ", AF9)+1) - FIND(", ", AF9) - 2))</f>
        <v>Talheimer Str. 1</v>
      </c>
      <c r="AH9" t="str">
        <f>_xlfn.TEXTBEFORE(_xlfn.TEXTAFTER(AF9, ", ", 2), " ")</f>
        <v>74223</v>
      </c>
      <c r="AI9" t="str">
        <f>_xlfn.TEXTAFTER(_xlfn.TEXTAFTER(AF9, ", ", 2), " ")</f>
        <v>Flein-Zentrum</v>
      </c>
    </row>
    <row r="10" spans="1:35" x14ac:dyDescent="0.2">
      <c r="A10" t="str">
        <f>B10&amp;C10&amp;H10&amp;N10</f>
        <v>35000905Neckarsulmer Sport-UnionA-Junioren1</v>
      </c>
      <c r="B10" t="s">
        <v>97</v>
      </c>
      <c r="C10" t="s">
        <v>98</v>
      </c>
      <c r="D10" t="s">
        <v>34</v>
      </c>
      <c r="E10" t="s">
        <v>35</v>
      </c>
      <c r="F10" t="s">
        <v>36</v>
      </c>
      <c r="G10">
        <v>3</v>
      </c>
      <c r="H10" t="s">
        <v>37</v>
      </c>
      <c r="I10" t="s">
        <v>70</v>
      </c>
      <c r="J10" t="s">
        <v>71</v>
      </c>
      <c r="K10" s="2" t="s">
        <v>1416</v>
      </c>
      <c r="L10" s="2" t="s">
        <v>1375</v>
      </c>
      <c r="M10" s="2">
        <v>6</v>
      </c>
      <c r="N10">
        <v>1</v>
      </c>
      <c r="O10" t="s">
        <v>99</v>
      </c>
      <c r="P10" t="s">
        <v>40</v>
      </c>
      <c r="Q10" t="s">
        <v>40</v>
      </c>
      <c r="R10" t="s">
        <v>41</v>
      </c>
      <c r="U10" t="s">
        <v>42</v>
      </c>
      <c r="V10" t="s">
        <v>43</v>
      </c>
      <c r="W10" t="s">
        <v>43</v>
      </c>
      <c r="Y10" t="s">
        <v>43</v>
      </c>
      <c r="Z10" t="s">
        <v>45</v>
      </c>
      <c r="AA10" t="s">
        <v>100</v>
      </c>
      <c r="AB10" t="s">
        <v>43</v>
      </c>
      <c r="AC10" t="s">
        <v>43</v>
      </c>
      <c r="AD10" t="s">
        <v>43</v>
      </c>
      <c r="AE10" t="s">
        <v>43</v>
      </c>
      <c r="AF10" t="str">
        <f>AA10</f>
        <v>Neckarsulm Pichterich Kunstrasen, Pichterichstr. 71, 74172 Neckarsulm-Zentrum</v>
      </c>
      <c r="AG10" t="str">
        <f>TRIM(MID(AF10, FIND(", ", AF10)+2, FIND(", ", AF10, FIND(", ", AF10)+1) - FIND(", ", AF10) - 2))</f>
        <v>Pichterichstr. 71</v>
      </c>
      <c r="AH10" t="str">
        <f>_xlfn.TEXTBEFORE(_xlfn.TEXTAFTER(AF10, ", ", 2), " ")</f>
        <v>74172</v>
      </c>
      <c r="AI10" t="str">
        <f>_xlfn.TEXTAFTER(_xlfn.TEXTAFTER(AF10, ", ", 2), " ")</f>
        <v>Neckarsulm-Zentrum</v>
      </c>
    </row>
    <row r="11" spans="1:35" x14ac:dyDescent="0.2">
      <c r="A11" t="str">
        <f>B11&amp;C11&amp;H11&amp;N11</f>
        <v>35000910Spfr NeckarwestheimA-Junioren1</v>
      </c>
      <c r="B11" t="s">
        <v>68</v>
      </c>
      <c r="C11" t="s">
        <v>69</v>
      </c>
      <c r="D11" t="s">
        <v>34</v>
      </c>
      <c r="E11" t="s">
        <v>35</v>
      </c>
      <c r="F11" t="s">
        <v>36</v>
      </c>
      <c r="G11">
        <v>3</v>
      </c>
      <c r="H11" t="s">
        <v>37</v>
      </c>
      <c r="I11" t="s">
        <v>70</v>
      </c>
      <c r="J11" t="s">
        <v>71</v>
      </c>
      <c r="K11" s="2" t="s">
        <v>1416</v>
      </c>
      <c r="L11" s="2" t="s">
        <v>1375</v>
      </c>
      <c r="M11" s="2">
        <v>10</v>
      </c>
      <c r="N11">
        <v>1</v>
      </c>
      <c r="O11" t="s">
        <v>72</v>
      </c>
      <c r="P11" t="s">
        <v>40</v>
      </c>
      <c r="Q11" t="s">
        <v>40</v>
      </c>
      <c r="R11" t="s">
        <v>41</v>
      </c>
      <c r="U11" t="s">
        <v>42</v>
      </c>
      <c r="V11" t="s">
        <v>43</v>
      </c>
      <c r="W11" t="s">
        <v>43</v>
      </c>
      <c r="Y11" t="s">
        <v>73</v>
      </c>
      <c r="Z11" t="s">
        <v>45</v>
      </c>
      <c r="AA11" t="s">
        <v>74</v>
      </c>
      <c r="AB11" t="s">
        <v>43</v>
      </c>
      <c r="AC11" t="s">
        <v>43</v>
      </c>
      <c r="AD11" t="s">
        <v>43</v>
      </c>
      <c r="AE11" t="s">
        <v>43</v>
      </c>
      <c r="AF11" t="str">
        <f>AA11</f>
        <v>Neckarwestheim Rasen 1, Reblandstr. 31, 74382 Neckarwestheim-Zentrum</v>
      </c>
      <c r="AG11" t="str">
        <f>TRIM(MID(AF11, FIND(", ", AF11)+2, FIND(", ", AF11, FIND(", ", AF11)+1) - FIND(", ", AF11) - 2))</f>
        <v>Reblandstr. 31</v>
      </c>
      <c r="AH11" t="str">
        <f>_xlfn.TEXTBEFORE(_xlfn.TEXTAFTER(AF11, ", ", 2), " ")</f>
        <v>74382</v>
      </c>
      <c r="AI11" t="str">
        <f>_xlfn.TEXTAFTER(_xlfn.TEXTAFTER(AF11, ", ", 2), " ")</f>
        <v>Neckarwestheim-Zentrum</v>
      </c>
    </row>
    <row r="12" spans="1:35" x14ac:dyDescent="0.2">
      <c r="A12" t="str">
        <f>B12&amp;C12&amp;H12&amp;N12</f>
        <v>35002198FC Union HeilbronnA-Junioren1</v>
      </c>
      <c r="B12" t="s">
        <v>85</v>
      </c>
      <c r="C12" t="s">
        <v>86</v>
      </c>
      <c r="D12" t="s">
        <v>34</v>
      </c>
      <c r="E12" t="s">
        <v>35</v>
      </c>
      <c r="F12" t="s">
        <v>36</v>
      </c>
      <c r="G12">
        <v>3</v>
      </c>
      <c r="H12" t="s">
        <v>37</v>
      </c>
      <c r="I12" t="s">
        <v>70</v>
      </c>
      <c r="J12" t="s">
        <v>71</v>
      </c>
      <c r="K12" s="2" t="s">
        <v>1416</v>
      </c>
      <c r="L12" s="2" t="s">
        <v>1375</v>
      </c>
      <c r="M12" s="2">
        <v>3</v>
      </c>
      <c r="N12">
        <v>1</v>
      </c>
      <c r="O12" t="s">
        <v>87</v>
      </c>
      <c r="P12" t="s">
        <v>40</v>
      </c>
      <c r="Q12" t="s">
        <v>40</v>
      </c>
      <c r="R12" t="s">
        <v>41</v>
      </c>
      <c r="U12" t="s">
        <v>42</v>
      </c>
      <c r="V12" t="s">
        <v>43</v>
      </c>
      <c r="W12" t="s">
        <v>43</v>
      </c>
      <c r="Y12" t="s">
        <v>88</v>
      </c>
      <c r="Z12" t="s">
        <v>45</v>
      </c>
      <c r="AA12" t="s">
        <v>89</v>
      </c>
      <c r="AB12" t="s">
        <v>43</v>
      </c>
      <c r="AC12" t="s">
        <v>43</v>
      </c>
      <c r="AD12" t="s">
        <v>43</v>
      </c>
      <c r="AE12" t="s">
        <v>43</v>
      </c>
      <c r="AF12" t="str">
        <f>AA12</f>
        <v>Böckingen (SC) Kunstrasen, Viehweide 5, 74080 Heilbronn-Böckingen</v>
      </c>
      <c r="AG12" t="str">
        <f>TRIM(MID(AF12, FIND(", ", AF12)+2, FIND(", ", AF12, FIND(", ", AF12)+1) - FIND(", ", AF12) - 2))</f>
        <v>Viehweide 5</v>
      </c>
      <c r="AH12" t="str">
        <f>_xlfn.TEXTBEFORE(_xlfn.TEXTAFTER(AF12, ", ", 2), " ")</f>
        <v>74080</v>
      </c>
      <c r="AI12" t="str">
        <f>_xlfn.TEXTAFTER(_xlfn.TEXTAFTER(AF12, ", ", 2), " ")</f>
        <v>Heilbronn-Böckingen</v>
      </c>
    </row>
    <row r="13" spans="1:35" x14ac:dyDescent="0.2">
      <c r="A13" t="str">
        <f>B13&amp;C13&amp;H13&amp;N13</f>
        <v>35000537TSV HardthausenA-Junioren1</v>
      </c>
      <c r="B13" t="s">
        <v>75</v>
      </c>
      <c r="C13" t="s">
        <v>76</v>
      </c>
      <c r="D13" t="s">
        <v>77</v>
      </c>
      <c r="E13" t="s">
        <v>35</v>
      </c>
      <c r="F13" t="s">
        <v>36</v>
      </c>
      <c r="G13">
        <v>3</v>
      </c>
      <c r="H13" t="s">
        <v>37</v>
      </c>
      <c r="I13" t="s">
        <v>70</v>
      </c>
      <c r="J13" t="s">
        <v>71</v>
      </c>
      <c r="K13" s="2" t="s">
        <v>1416</v>
      </c>
      <c r="L13" s="2" t="s">
        <v>1375</v>
      </c>
      <c r="M13" s="2">
        <v>2</v>
      </c>
      <c r="N13">
        <v>1</v>
      </c>
      <c r="O13" t="s">
        <v>78</v>
      </c>
      <c r="P13" t="s">
        <v>40</v>
      </c>
      <c r="Q13" t="s">
        <v>40</v>
      </c>
      <c r="R13" t="s">
        <v>41</v>
      </c>
      <c r="U13" t="s">
        <v>42</v>
      </c>
      <c r="V13" t="s">
        <v>43</v>
      </c>
      <c r="W13" t="s">
        <v>43</v>
      </c>
      <c r="Y13" t="s">
        <v>79</v>
      </c>
      <c r="Z13" t="s">
        <v>45</v>
      </c>
      <c r="AA13" t="s">
        <v>80</v>
      </c>
      <c r="AB13" t="s">
        <v>43</v>
      </c>
      <c r="AC13" t="s">
        <v>43</v>
      </c>
      <c r="AD13" t="s">
        <v>43</v>
      </c>
      <c r="AE13" t="s">
        <v>43</v>
      </c>
      <c r="AF13" t="str">
        <f>AA13</f>
        <v>Hardthausen Rasen, Buchsmühle 1, 74239 Hardthausen</v>
      </c>
      <c r="AG13" t="str">
        <f>TRIM(MID(AF13, FIND(", ", AF13)+2, FIND(", ", AF13, FIND(", ", AF13)+1) - FIND(", ", AF13) - 2))</f>
        <v>Buchsmühle 1</v>
      </c>
      <c r="AH13" t="str">
        <f>_xlfn.TEXTBEFORE(_xlfn.TEXTAFTER(AF13, ", ", 2), " ")</f>
        <v>74239</v>
      </c>
      <c r="AI13" t="str">
        <f>_xlfn.TEXTAFTER(_xlfn.TEXTAFTER(AF13, ", ", 2), " ")</f>
        <v>Hardthausen</v>
      </c>
    </row>
    <row r="14" spans="1:35" x14ac:dyDescent="0.2">
      <c r="A14" t="str">
        <f>B14&amp;C14&amp;H14&amp;N14</f>
        <v>35001710VfR GommersdorfA-Junioren1</v>
      </c>
      <c r="B14" t="s">
        <v>90</v>
      </c>
      <c r="C14" t="s">
        <v>91</v>
      </c>
      <c r="D14" t="s">
        <v>49</v>
      </c>
      <c r="E14" t="s">
        <v>35</v>
      </c>
      <c r="F14" t="s">
        <v>50</v>
      </c>
      <c r="G14">
        <v>3</v>
      </c>
      <c r="H14" t="s">
        <v>37</v>
      </c>
      <c r="I14" t="s">
        <v>70</v>
      </c>
      <c r="J14" t="s">
        <v>71</v>
      </c>
      <c r="K14" s="2" t="s">
        <v>1416</v>
      </c>
      <c r="L14" s="2" t="s">
        <v>1375</v>
      </c>
      <c r="M14" s="2">
        <v>1</v>
      </c>
      <c r="N14">
        <v>1</v>
      </c>
      <c r="O14" t="s">
        <v>92</v>
      </c>
      <c r="P14" t="s">
        <v>40</v>
      </c>
      <c r="Q14" t="s">
        <v>40</v>
      </c>
      <c r="R14" t="s">
        <v>41</v>
      </c>
      <c r="U14" t="s">
        <v>42</v>
      </c>
      <c r="V14" t="s">
        <v>43</v>
      </c>
      <c r="W14" t="s">
        <v>43</v>
      </c>
      <c r="Y14" t="s">
        <v>93</v>
      </c>
      <c r="Z14" t="s">
        <v>45</v>
      </c>
      <c r="AA14" t="s">
        <v>94</v>
      </c>
      <c r="AB14" t="s">
        <v>95</v>
      </c>
      <c r="AC14" t="s">
        <v>96</v>
      </c>
      <c r="AD14" t="s">
        <v>43</v>
      </c>
      <c r="AE14" t="s">
        <v>43</v>
      </c>
      <c r="AF14" t="str">
        <f>AC14</f>
        <v>VfR Gommersdorf - Dieter-Gärtner-Arena 2, Stichele 1, 74238 Krautheim-Gommersdorf</v>
      </c>
      <c r="AG14" t="str">
        <f>TRIM(MID(AF14, FIND(", ", AF14)+2, FIND(", ", AF14, FIND(", ", AF14)+1) - FIND(", ", AF14) - 2))</f>
        <v>Stichele 1</v>
      </c>
      <c r="AH14" t="str">
        <f>_xlfn.TEXTBEFORE(_xlfn.TEXTAFTER(AF14, ", ", 2), " ")</f>
        <v>74238</v>
      </c>
      <c r="AI14" t="str">
        <f>_xlfn.TEXTAFTER(_xlfn.TEXTAFTER(AF14, ", ", 2), " ")</f>
        <v>Krautheim-Gommersdorf</v>
      </c>
    </row>
    <row r="15" spans="1:35" x14ac:dyDescent="0.2">
      <c r="A15" t="str">
        <f>B15&amp;C15&amp;H15&amp;N15</f>
        <v>35000493SpVgg Gröningen-SatteldorfA-Junioren1</v>
      </c>
      <c r="B15" t="s">
        <v>101</v>
      </c>
      <c r="C15" t="s">
        <v>102</v>
      </c>
      <c r="D15" t="s">
        <v>103</v>
      </c>
      <c r="E15" t="s">
        <v>35</v>
      </c>
      <c r="F15" t="s">
        <v>50</v>
      </c>
      <c r="G15">
        <v>12</v>
      </c>
      <c r="H15" t="s">
        <v>37</v>
      </c>
      <c r="I15" t="s">
        <v>70</v>
      </c>
      <c r="J15" t="s">
        <v>71</v>
      </c>
      <c r="K15" s="2" t="s">
        <v>1416</v>
      </c>
      <c r="L15" s="2" t="s">
        <v>1375</v>
      </c>
      <c r="M15" s="2">
        <v>4</v>
      </c>
      <c r="N15">
        <v>1</v>
      </c>
      <c r="O15" t="s">
        <v>104</v>
      </c>
      <c r="P15" t="s">
        <v>40</v>
      </c>
      <c r="Q15" t="s">
        <v>40</v>
      </c>
      <c r="R15" t="s">
        <v>41</v>
      </c>
      <c r="U15" t="s">
        <v>42</v>
      </c>
      <c r="V15" t="s">
        <v>43</v>
      </c>
      <c r="W15" t="s">
        <v>43</v>
      </c>
      <c r="Y15" t="s">
        <v>43</v>
      </c>
      <c r="Z15" t="s">
        <v>45</v>
      </c>
      <c r="AA15" t="s">
        <v>105</v>
      </c>
      <c r="AB15" t="s">
        <v>43</v>
      </c>
      <c r="AC15" t="s">
        <v>43</v>
      </c>
      <c r="AD15" t="s">
        <v>43</v>
      </c>
      <c r="AE15" t="s">
        <v>43</v>
      </c>
      <c r="AF15" t="str">
        <f>AA15</f>
        <v>Kunstrasenplatz (Platz 3)  SpVgg Satteldorf, Kernmühlenweg, 74589 Satteldorf-Neidenfels</v>
      </c>
      <c r="AG15" t="str">
        <f>TRIM(MID(AF15, FIND(", ", AF15)+2, FIND(", ", AF15, FIND(", ", AF15)+1) - FIND(", ", AF15) - 2))</f>
        <v>Kernmühlenweg</v>
      </c>
      <c r="AH15" t="str">
        <f>_xlfn.TEXTBEFORE(_xlfn.TEXTAFTER(AF15, ", ", 2), " ")</f>
        <v>74589</v>
      </c>
      <c r="AI15" t="str">
        <f>_xlfn.TEXTAFTER(_xlfn.TEXTAFTER(AF15, ", ", 2), " ")</f>
        <v>Satteldorf-Neidenfels</v>
      </c>
    </row>
    <row r="16" spans="1:35" x14ac:dyDescent="0.2">
      <c r="A16" t="str">
        <f>B16&amp;C16&amp;H16&amp;N16</f>
        <v>35000668TSV IlshofenA-Junioren1</v>
      </c>
      <c r="B16" t="s">
        <v>106</v>
      </c>
      <c r="C16" t="s">
        <v>107</v>
      </c>
      <c r="D16" t="s">
        <v>58</v>
      </c>
      <c r="E16" t="s">
        <v>35</v>
      </c>
      <c r="F16" t="s">
        <v>50</v>
      </c>
      <c r="G16">
        <v>12</v>
      </c>
      <c r="H16" t="s">
        <v>37</v>
      </c>
      <c r="I16" t="s">
        <v>70</v>
      </c>
      <c r="J16" t="s">
        <v>71</v>
      </c>
      <c r="K16" s="2" t="s">
        <v>1416</v>
      </c>
      <c r="L16" s="2" t="s">
        <v>1375</v>
      </c>
      <c r="M16" s="2">
        <v>7</v>
      </c>
      <c r="N16">
        <v>1</v>
      </c>
      <c r="O16" t="s">
        <v>107</v>
      </c>
      <c r="P16" t="s">
        <v>40</v>
      </c>
      <c r="Q16" t="s">
        <v>40</v>
      </c>
      <c r="R16" t="s">
        <v>41</v>
      </c>
      <c r="U16" t="s">
        <v>42</v>
      </c>
      <c r="V16" t="s">
        <v>43</v>
      </c>
      <c r="W16" t="s">
        <v>43</v>
      </c>
      <c r="Y16" t="s">
        <v>43</v>
      </c>
      <c r="Z16" t="s">
        <v>45</v>
      </c>
      <c r="AA16" t="s">
        <v>108</v>
      </c>
      <c r="AB16" t="s">
        <v>43</v>
      </c>
      <c r="AC16" t="s">
        <v>43</v>
      </c>
      <c r="AD16" t="s">
        <v>43</v>
      </c>
      <c r="AE16" t="s">
        <v>43</v>
      </c>
      <c r="AF16" t="str">
        <f>AA16</f>
        <v>Kunstrasenplatz TSV Ilshofen, Aspacher Str., 74532 Ilshofen</v>
      </c>
      <c r="AG16" t="str">
        <f>TRIM(MID(AF16, FIND(", ", AF16)+2, FIND(", ", AF16, FIND(", ", AF16)+1) - FIND(", ", AF16) - 2))</f>
        <v>Aspacher Str.</v>
      </c>
      <c r="AH16" t="str">
        <f>_xlfn.TEXTBEFORE(_xlfn.TEXTAFTER(AF16, ", ", 2), " ")</f>
        <v>74532</v>
      </c>
      <c r="AI16" t="str">
        <f>_xlfn.TEXTAFTER(_xlfn.TEXTAFTER(AF16, ", ", 2), " ")</f>
        <v>Ilshofen</v>
      </c>
    </row>
    <row r="17" spans="1:35" x14ac:dyDescent="0.2">
      <c r="A17" t="str">
        <f>B17&amp;C17&amp;H17&amp;N17</f>
        <v>35000856TSV MichelfeldA-Junioren1</v>
      </c>
      <c r="B17" t="s">
        <v>81</v>
      </c>
      <c r="C17" t="s">
        <v>82</v>
      </c>
      <c r="D17" t="s">
        <v>58</v>
      </c>
      <c r="E17" t="s">
        <v>35</v>
      </c>
      <c r="F17" t="s">
        <v>50</v>
      </c>
      <c r="G17">
        <v>12</v>
      </c>
      <c r="H17" t="s">
        <v>37</v>
      </c>
      <c r="I17" t="s">
        <v>70</v>
      </c>
      <c r="J17" t="s">
        <v>71</v>
      </c>
      <c r="K17" s="2" t="s">
        <v>1416</v>
      </c>
      <c r="L17" s="2" t="s">
        <v>1375</v>
      </c>
      <c r="M17" s="2">
        <v>9</v>
      </c>
      <c r="N17">
        <v>1</v>
      </c>
      <c r="O17" t="s">
        <v>83</v>
      </c>
      <c r="P17" t="s">
        <v>40</v>
      </c>
      <c r="Q17" t="s">
        <v>40</v>
      </c>
      <c r="R17" t="s">
        <v>41</v>
      </c>
      <c r="U17" t="s">
        <v>42</v>
      </c>
      <c r="V17" t="s">
        <v>43</v>
      </c>
      <c r="W17" t="s">
        <v>43</v>
      </c>
      <c r="Y17" t="s">
        <v>43</v>
      </c>
      <c r="Z17" t="s">
        <v>45</v>
      </c>
      <c r="AA17" t="s">
        <v>84</v>
      </c>
      <c r="AB17" t="s">
        <v>43</v>
      </c>
      <c r="AC17" t="s">
        <v>43</v>
      </c>
      <c r="AD17" t="s">
        <v>43</v>
      </c>
      <c r="AE17" t="s">
        <v>43</v>
      </c>
      <c r="AF17" t="str">
        <f>AA17</f>
        <v>Kunstrasenplatz TSV Michelfeld, Stuttgarter Str. 181, 74545 Michelfeld</v>
      </c>
      <c r="AG17" t="str">
        <f>TRIM(MID(AF17, FIND(", ", AF17)+2, FIND(", ", AF17, FIND(", ", AF17)+1) - FIND(", ", AF17) - 2))</f>
        <v>Stuttgarter Str. 181</v>
      </c>
      <c r="AH17" t="str">
        <f>_xlfn.TEXTBEFORE(_xlfn.TEXTAFTER(AF17, ", ", 2), " ")</f>
        <v>74545</v>
      </c>
      <c r="AI17" t="str">
        <f>_xlfn.TEXTAFTER(_xlfn.TEXTAFTER(AF17, ", ", 2), " ")</f>
        <v>Michelfeld</v>
      </c>
    </row>
    <row r="18" spans="1:35" x14ac:dyDescent="0.2">
      <c r="A18" t="str">
        <f>B18&amp;C18&amp;H18&amp;N18</f>
        <v>35000006SC AbstattA-Junioren1</v>
      </c>
      <c r="B18" t="s">
        <v>154</v>
      </c>
      <c r="C18" t="s">
        <v>155</v>
      </c>
      <c r="D18" t="s">
        <v>34</v>
      </c>
      <c r="E18" t="s">
        <v>35</v>
      </c>
      <c r="F18" t="s">
        <v>36</v>
      </c>
      <c r="G18">
        <v>3</v>
      </c>
      <c r="H18" t="s">
        <v>37</v>
      </c>
      <c r="I18" t="s">
        <v>114</v>
      </c>
      <c r="J18" t="s">
        <v>115</v>
      </c>
      <c r="K18" t="s">
        <v>116</v>
      </c>
      <c r="L18" s="2" t="s">
        <v>1370</v>
      </c>
      <c r="M18" s="2">
        <v>7</v>
      </c>
      <c r="N18">
        <v>1</v>
      </c>
      <c r="O18" t="s">
        <v>156</v>
      </c>
      <c r="P18" t="s">
        <v>40</v>
      </c>
      <c r="Q18" t="s">
        <v>40</v>
      </c>
      <c r="R18" t="s">
        <v>41</v>
      </c>
      <c r="U18" t="s">
        <v>118</v>
      </c>
      <c r="V18" t="s">
        <v>43</v>
      </c>
      <c r="W18" t="s">
        <v>43</v>
      </c>
      <c r="Y18" t="s">
        <v>43</v>
      </c>
      <c r="Z18" t="s">
        <v>45</v>
      </c>
      <c r="AA18" t="s">
        <v>157</v>
      </c>
      <c r="AB18" t="s">
        <v>43</v>
      </c>
      <c r="AC18" t="s">
        <v>43</v>
      </c>
      <c r="AD18" t="s">
        <v>43</v>
      </c>
      <c r="AE18" t="s">
        <v>43</v>
      </c>
      <c r="AF18" t="str">
        <f>AA18</f>
        <v>Abstatt Kunstrasen, Kirschenwiesen, 74232 Abstatt-Zentrum</v>
      </c>
      <c r="AG18" t="str">
        <f>TRIM(MID(AF18, FIND(", ", AF18)+2, FIND(", ", AF18, FIND(", ", AF18)+1) - FIND(", ", AF18) - 2))</f>
        <v>Kirschenwiesen</v>
      </c>
      <c r="AH18" t="str">
        <f>_xlfn.TEXTBEFORE(_xlfn.TEXTAFTER(AF18, ", ", 2), " ")</f>
        <v>74232</v>
      </c>
      <c r="AI18" t="str">
        <f>_xlfn.TEXTAFTER(_xlfn.TEXTAFTER(AF18, ", ", 2), " ")</f>
        <v>Abstatt-Zentrum</v>
      </c>
    </row>
    <row r="19" spans="1:35" x14ac:dyDescent="0.2">
      <c r="A19" t="str">
        <f>B19&amp;C19&amp;H19&amp;N19</f>
        <v>35000236TSV CleebronnA-Junioren1</v>
      </c>
      <c r="B19" t="s">
        <v>123</v>
      </c>
      <c r="C19" t="s">
        <v>124</v>
      </c>
      <c r="D19" t="s">
        <v>34</v>
      </c>
      <c r="E19" t="s">
        <v>35</v>
      </c>
      <c r="F19" t="s">
        <v>36</v>
      </c>
      <c r="G19">
        <v>3</v>
      </c>
      <c r="H19" t="s">
        <v>37</v>
      </c>
      <c r="I19" t="s">
        <v>114</v>
      </c>
      <c r="J19" t="s">
        <v>115</v>
      </c>
      <c r="K19" t="s">
        <v>116</v>
      </c>
      <c r="L19" s="2" t="s">
        <v>1370</v>
      </c>
      <c r="M19" s="2">
        <v>4</v>
      </c>
      <c r="N19">
        <v>1</v>
      </c>
      <c r="O19" t="s">
        <v>125</v>
      </c>
      <c r="P19" t="s">
        <v>40</v>
      </c>
      <c r="Q19" t="s">
        <v>40</v>
      </c>
      <c r="R19" t="s">
        <v>41</v>
      </c>
      <c r="U19" t="s">
        <v>118</v>
      </c>
      <c r="V19" t="s">
        <v>43</v>
      </c>
      <c r="W19" t="s">
        <v>43</v>
      </c>
      <c r="Y19" t="s">
        <v>43</v>
      </c>
      <c r="Z19" t="s">
        <v>45</v>
      </c>
      <c r="AA19" t="s">
        <v>126</v>
      </c>
      <c r="AB19" t="s">
        <v>43</v>
      </c>
      <c r="AC19" t="s">
        <v>43</v>
      </c>
      <c r="AD19" t="s">
        <v>43</v>
      </c>
      <c r="AE19" t="s">
        <v>43</v>
      </c>
      <c r="AF19" t="str">
        <f>AA19</f>
        <v>Cleebronn Rasen 1, Schützenstr., 74389 Cleebronn-Zentrum</v>
      </c>
      <c r="AG19" t="str">
        <f>TRIM(MID(AF19, FIND(", ", AF19)+2, FIND(", ", AF19, FIND(", ", AF19)+1) - FIND(", ", AF19) - 2))</f>
        <v>Schützenstr.</v>
      </c>
      <c r="AH19" t="str">
        <f>_xlfn.TEXTBEFORE(_xlfn.TEXTAFTER(AF19, ", ", 2), " ")</f>
        <v>74389</v>
      </c>
      <c r="AI19" t="str">
        <f>_xlfn.TEXTAFTER(_xlfn.TEXTAFTER(AF19, ", ", 2), " ")</f>
        <v>Cleebronn-Zentrum</v>
      </c>
    </row>
    <row r="20" spans="1:35" x14ac:dyDescent="0.2">
      <c r="A20" t="str">
        <f>B20&amp;C20&amp;H20&amp;N20</f>
        <v>35000298TGV DürrenzimmernA-Junioren1</v>
      </c>
      <c r="B20" t="s">
        <v>127</v>
      </c>
      <c r="C20" t="s">
        <v>128</v>
      </c>
      <c r="D20" t="s">
        <v>34</v>
      </c>
      <c r="E20" t="s">
        <v>35</v>
      </c>
      <c r="F20" t="s">
        <v>36</v>
      </c>
      <c r="G20">
        <v>3</v>
      </c>
      <c r="H20" t="s">
        <v>37</v>
      </c>
      <c r="I20" t="s">
        <v>114</v>
      </c>
      <c r="J20" t="s">
        <v>115</v>
      </c>
      <c r="K20" t="s">
        <v>116</v>
      </c>
      <c r="L20" s="2" t="s">
        <v>1370</v>
      </c>
      <c r="M20" s="2">
        <v>5</v>
      </c>
      <c r="N20">
        <v>1</v>
      </c>
      <c r="O20" t="s">
        <v>129</v>
      </c>
      <c r="P20" t="s">
        <v>40</v>
      </c>
      <c r="Q20" t="s">
        <v>40</v>
      </c>
      <c r="R20" t="s">
        <v>41</v>
      </c>
      <c r="U20" t="s">
        <v>118</v>
      </c>
      <c r="V20" t="s">
        <v>43</v>
      </c>
      <c r="W20" t="s">
        <v>43</v>
      </c>
      <c r="Y20" t="s">
        <v>43</v>
      </c>
      <c r="Z20" t="s">
        <v>45</v>
      </c>
      <c r="AA20" t="s">
        <v>130</v>
      </c>
      <c r="AB20" t="s">
        <v>43</v>
      </c>
      <c r="AC20" t="s">
        <v>43</v>
      </c>
      <c r="AD20" t="s">
        <v>43</v>
      </c>
      <c r="AE20" t="s">
        <v>43</v>
      </c>
      <c r="AF20" t="str">
        <f>AA20</f>
        <v>Dürrenzimmern Rasen 1, Unter dem Hörnle, 74336 Brackenheim-Dürrenzimmern</v>
      </c>
      <c r="AG20" t="str">
        <f>TRIM(MID(AF20, FIND(", ", AF20)+2, FIND(", ", AF20, FIND(", ", AF20)+1) - FIND(", ", AF20) - 2))</f>
        <v>Unter dem Hörnle</v>
      </c>
      <c r="AH20" t="str">
        <f>_xlfn.TEXTBEFORE(_xlfn.TEXTAFTER(AF20, ", ", 2), " ")</f>
        <v>74336</v>
      </c>
      <c r="AI20" t="str">
        <f>_xlfn.TEXTAFTER(_xlfn.TEXTAFTER(AF20, ", ", 2), " ")</f>
        <v>Brackenheim-Dürrenzimmern</v>
      </c>
    </row>
    <row r="21" spans="1:35" x14ac:dyDescent="0.2">
      <c r="A21" t="str">
        <f>B21&amp;C21&amp;H21&amp;N21</f>
        <v>35000716FC KirchhausenA-Junioren1</v>
      </c>
      <c r="B21" t="s">
        <v>137</v>
      </c>
      <c r="C21" t="s">
        <v>138</v>
      </c>
      <c r="D21" t="s">
        <v>34</v>
      </c>
      <c r="E21" t="s">
        <v>35</v>
      </c>
      <c r="F21" t="s">
        <v>36</v>
      </c>
      <c r="G21">
        <v>3</v>
      </c>
      <c r="H21" t="s">
        <v>37</v>
      </c>
      <c r="I21" t="s">
        <v>114</v>
      </c>
      <c r="J21" t="s">
        <v>115</v>
      </c>
      <c r="K21" t="s">
        <v>116</v>
      </c>
      <c r="L21" s="2" t="s">
        <v>1370</v>
      </c>
      <c r="M21" s="2">
        <v>2</v>
      </c>
      <c r="N21">
        <v>1</v>
      </c>
      <c r="O21" t="s">
        <v>139</v>
      </c>
      <c r="P21" t="s">
        <v>40</v>
      </c>
      <c r="Q21" t="s">
        <v>40</v>
      </c>
      <c r="R21" t="s">
        <v>41</v>
      </c>
      <c r="U21" t="s">
        <v>118</v>
      </c>
      <c r="V21" t="s">
        <v>43</v>
      </c>
      <c r="W21" t="s">
        <v>43</v>
      </c>
      <c r="Y21" t="s">
        <v>43</v>
      </c>
      <c r="Z21" t="s">
        <v>45</v>
      </c>
      <c r="AA21" t="s">
        <v>140</v>
      </c>
      <c r="AB21" t="s">
        <v>43</v>
      </c>
      <c r="AC21" t="s">
        <v>43</v>
      </c>
      <c r="AD21" t="s">
        <v>43</v>
      </c>
      <c r="AE21" t="s">
        <v>43</v>
      </c>
      <c r="AF21" t="str">
        <f>AA21</f>
        <v>Kirchhausen Kunstrasenplatz, Steinbrünnleswiesen 1, 74078 Heilbronn-Kirchhausen</v>
      </c>
      <c r="AG21" t="str">
        <f>TRIM(MID(AF21, FIND(", ", AF21)+2, FIND(", ", AF21, FIND(", ", AF21)+1) - FIND(", ", AF21) - 2))</f>
        <v>Steinbrünnleswiesen 1</v>
      </c>
      <c r="AH21" t="str">
        <f>_xlfn.TEXTBEFORE(_xlfn.TEXTAFTER(AF21, ", ", 2), " ")</f>
        <v>74078</v>
      </c>
      <c r="AI21" t="str">
        <f>_xlfn.TEXTAFTER(_xlfn.TEXTAFTER(AF21, ", ", 2), " ")</f>
        <v>Heilbronn-Kirchhausen</v>
      </c>
    </row>
    <row r="22" spans="1:35" x14ac:dyDescent="0.2">
      <c r="A22" t="str">
        <f>B22&amp;C22&amp;H22&amp;N22</f>
        <v>35000777SV LeingartenA-Junioren1</v>
      </c>
      <c r="B22" t="s">
        <v>158</v>
      </c>
      <c r="C22" t="s">
        <v>159</v>
      </c>
      <c r="D22" t="s">
        <v>34</v>
      </c>
      <c r="E22" t="s">
        <v>35</v>
      </c>
      <c r="F22" t="s">
        <v>36</v>
      </c>
      <c r="G22">
        <v>3</v>
      </c>
      <c r="H22" t="s">
        <v>37</v>
      </c>
      <c r="I22" t="s">
        <v>114</v>
      </c>
      <c r="J22" t="s">
        <v>115</v>
      </c>
      <c r="K22" t="s">
        <v>116</v>
      </c>
      <c r="L22" s="2" t="s">
        <v>1370</v>
      </c>
      <c r="M22" s="2">
        <v>9</v>
      </c>
      <c r="N22">
        <v>1</v>
      </c>
      <c r="O22" t="s">
        <v>159</v>
      </c>
      <c r="P22" t="s">
        <v>40</v>
      </c>
      <c r="Q22" t="s">
        <v>40</v>
      </c>
      <c r="R22" t="s">
        <v>41</v>
      </c>
      <c r="U22" t="s">
        <v>118</v>
      </c>
      <c r="V22" t="s">
        <v>43</v>
      </c>
      <c r="W22" t="s">
        <v>43</v>
      </c>
      <c r="Y22" t="s">
        <v>43</v>
      </c>
      <c r="Z22" t="s">
        <v>45</v>
      </c>
      <c r="AA22" t="s">
        <v>63</v>
      </c>
      <c r="AB22" t="s">
        <v>43</v>
      </c>
      <c r="AC22" t="s">
        <v>43</v>
      </c>
      <c r="AD22" t="s">
        <v>43</v>
      </c>
      <c r="AE22" t="s">
        <v>43</v>
      </c>
      <c r="AF22" t="str">
        <f>AA22</f>
        <v>Leingarten Kunstrasen, Egarten, 74211 Leingarten-Großgartach</v>
      </c>
      <c r="AG22" t="str">
        <f>TRIM(MID(AF22, FIND(", ", AF22)+2, FIND(", ", AF22, FIND(", ", AF22)+1) - FIND(", ", AF22) - 2))</f>
        <v>Egarten</v>
      </c>
      <c r="AH22" t="str">
        <f>_xlfn.TEXTBEFORE(_xlfn.TEXTAFTER(AF22, ", ", 2), " ")</f>
        <v>74211</v>
      </c>
      <c r="AI22" t="str">
        <f>_xlfn.TEXTAFTER(_xlfn.TEXTAFTER(AF22, ", ", 2), " ")</f>
        <v>Leingarten-Großgartach</v>
      </c>
    </row>
    <row r="23" spans="1:35" ht="63.75" x14ac:dyDescent="0.2">
      <c r="A23" t="str">
        <f>B23&amp;C23&amp;H23&amp;N23</f>
        <v>35000620TSV HöchstbergA-Junioren1</v>
      </c>
      <c r="B23" t="s">
        <v>131</v>
      </c>
      <c r="C23" t="s">
        <v>132</v>
      </c>
      <c r="D23" t="s">
        <v>77</v>
      </c>
      <c r="E23" t="s">
        <v>35</v>
      </c>
      <c r="F23" t="s">
        <v>36</v>
      </c>
      <c r="G23">
        <v>3</v>
      </c>
      <c r="H23" t="s">
        <v>37</v>
      </c>
      <c r="I23" t="s">
        <v>114</v>
      </c>
      <c r="J23" t="s">
        <v>115</v>
      </c>
      <c r="K23" t="s">
        <v>116</v>
      </c>
      <c r="L23" s="2" t="s">
        <v>1370</v>
      </c>
      <c r="M23" s="2">
        <v>3</v>
      </c>
      <c r="N23">
        <v>1</v>
      </c>
      <c r="O23" t="s">
        <v>133</v>
      </c>
      <c r="P23" t="s">
        <v>40</v>
      </c>
      <c r="Q23" t="s">
        <v>40</v>
      </c>
      <c r="R23" t="s">
        <v>41</v>
      </c>
      <c r="U23" t="s">
        <v>118</v>
      </c>
      <c r="V23" t="s">
        <v>43</v>
      </c>
      <c r="W23" t="s">
        <v>43</v>
      </c>
      <c r="X23" s="3" t="s">
        <v>134</v>
      </c>
      <c r="Y23" s="4" t="s">
        <v>135</v>
      </c>
      <c r="Z23" t="s">
        <v>45</v>
      </c>
      <c r="AA23" t="s">
        <v>136</v>
      </c>
      <c r="AB23" t="s">
        <v>43</v>
      </c>
      <c r="AC23" t="s">
        <v>43</v>
      </c>
      <c r="AD23" t="s">
        <v>43</v>
      </c>
      <c r="AE23" t="s">
        <v>43</v>
      </c>
      <c r="AF23" t="str">
        <f>AA23</f>
        <v>Höchstberg Rasen 1, Sonnenstr., 74831 Gundelsheim-Höchstberg</v>
      </c>
      <c r="AG23" t="str">
        <f>TRIM(MID(AF23, FIND(", ", AF23)+2, FIND(", ", AF23, FIND(", ", AF23)+1) - FIND(", ", AF23) - 2))</f>
        <v>Sonnenstr.</v>
      </c>
      <c r="AH23" t="str">
        <f>_xlfn.TEXTBEFORE(_xlfn.TEXTAFTER(AF23, ", ", 2), " ")</f>
        <v>74831</v>
      </c>
      <c r="AI23" t="str">
        <f>_xlfn.TEXTAFTER(_xlfn.TEXTAFTER(AF23, ", ", 2), " ")</f>
        <v>Gundelsheim-Höchstberg</v>
      </c>
    </row>
    <row r="24" spans="1:35" x14ac:dyDescent="0.2">
      <c r="A24" t="str">
        <f>B24&amp;C24&amp;H24&amp;N24</f>
        <v>35000904SC Neckarsulm-AmorbachA-Junioren1</v>
      </c>
      <c r="B24" t="s">
        <v>112</v>
      </c>
      <c r="C24" t="s">
        <v>113</v>
      </c>
      <c r="D24" t="s">
        <v>77</v>
      </c>
      <c r="E24" t="s">
        <v>35</v>
      </c>
      <c r="F24" t="s">
        <v>36</v>
      </c>
      <c r="G24">
        <v>3</v>
      </c>
      <c r="H24" t="s">
        <v>37</v>
      </c>
      <c r="I24" t="s">
        <v>114</v>
      </c>
      <c r="J24" t="s">
        <v>115</v>
      </c>
      <c r="K24" t="s">
        <v>116</v>
      </c>
      <c r="L24" s="2" t="s">
        <v>1370</v>
      </c>
      <c r="M24" s="2">
        <v>8</v>
      </c>
      <c r="N24">
        <v>1</v>
      </c>
      <c r="O24" t="s">
        <v>117</v>
      </c>
      <c r="P24" t="s">
        <v>40</v>
      </c>
      <c r="Q24" t="s">
        <v>40</v>
      </c>
      <c r="R24" t="s">
        <v>41</v>
      </c>
      <c r="U24" t="s">
        <v>118</v>
      </c>
      <c r="V24" t="s">
        <v>43</v>
      </c>
      <c r="W24" t="s">
        <v>43</v>
      </c>
      <c r="Y24" t="s">
        <v>118</v>
      </c>
      <c r="Z24" t="s">
        <v>45</v>
      </c>
      <c r="AA24" t="s">
        <v>119</v>
      </c>
      <c r="AB24" t="s">
        <v>43</v>
      </c>
      <c r="AC24" t="s">
        <v>43</v>
      </c>
      <c r="AD24" t="s">
        <v>43</v>
      </c>
      <c r="AE24" t="s">
        <v>43</v>
      </c>
      <c r="AF24" t="str">
        <f>AA24</f>
        <v>Amorbach Kunstrasen, Schwabenweg 25, 74172 Neckarsulm-Amorbach</v>
      </c>
      <c r="AG24" t="str">
        <f>TRIM(MID(AF24, FIND(", ", AF24)+2, FIND(", ", AF24, FIND(", ", AF24)+1) - FIND(", ", AF24) - 2))</f>
        <v>Schwabenweg 25</v>
      </c>
      <c r="AH24" t="str">
        <f>_xlfn.TEXTBEFORE(_xlfn.TEXTAFTER(AF24, ", ", 2), " ")</f>
        <v>74172</v>
      </c>
      <c r="AI24" t="str">
        <f>_xlfn.TEXTAFTER(_xlfn.TEXTAFTER(AF24, ", ", 2), " ")</f>
        <v>Neckarsulm-Amorbach</v>
      </c>
    </row>
    <row r="25" spans="1:35" x14ac:dyDescent="0.2">
      <c r="A25" t="str">
        <f>B25&amp;C25&amp;H25&amp;N25</f>
        <v>35000923TSV NeuenstadtA-Junioren1</v>
      </c>
      <c r="B25" t="s">
        <v>141</v>
      </c>
      <c r="C25" t="s">
        <v>142</v>
      </c>
      <c r="D25" t="s">
        <v>77</v>
      </c>
      <c r="E25" t="s">
        <v>35</v>
      </c>
      <c r="F25" t="s">
        <v>36</v>
      </c>
      <c r="G25">
        <v>3</v>
      </c>
      <c r="H25" t="s">
        <v>37</v>
      </c>
      <c r="I25" t="s">
        <v>114</v>
      </c>
      <c r="J25" t="s">
        <v>115</v>
      </c>
      <c r="K25" t="s">
        <v>116</v>
      </c>
      <c r="L25" s="2" t="s">
        <v>1370</v>
      </c>
      <c r="M25" s="2">
        <v>1</v>
      </c>
      <c r="N25">
        <v>1</v>
      </c>
      <c r="O25" t="s">
        <v>143</v>
      </c>
      <c r="P25" t="s">
        <v>40</v>
      </c>
      <c r="Q25" t="s">
        <v>40</v>
      </c>
      <c r="R25" t="s">
        <v>41</v>
      </c>
      <c r="U25" t="s">
        <v>118</v>
      </c>
      <c r="V25" t="s">
        <v>43</v>
      </c>
      <c r="W25" t="s">
        <v>43</v>
      </c>
      <c r="Y25" t="s">
        <v>144</v>
      </c>
      <c r="Z25" t="s">
        <v>45</v>
      </c>
      <c r="AA25" t="s">
        <v>145</v>
      </c>
      <c r="AB25" t="s">
        <v>95</v>
      </c>
      <c r="AC25" t="s">
        <v>146</v>
      </c>
      <c r="AD25" t="s">
        <v>43</v>
      </c>
      <c r="AE25" t="s">
        <v>43</v>
      </c>
      <c r="AF25" t="str">
        <f>AC25</f>
        <v>Neuenstadt Rasen, Cleversulzbacher Str. 89, 74196 Neuenstadt am Kocher</v>
      </c>
      <c r="AG25" t="str">
        <f>TRIM(MID(AF25, FIND(", ", AF25)+2, FIND(", ", AF25, FIND(", ", AF25)+1) - FIND(", ", AF25) - 2))</f>
        <v>Cleversulzbacher Str. 89</v>
      </c>
      <c r="AH25" t="str">
        <f>_xlfn.TEXTBEFORE(_xlfn.TEXTAFTER(AF25, ", ", 2), " ")</f>
        <v>74196</v>
      </c>
      <c r="AI25" t="str">
        <f>_xlfn.TEXTAFTER(_xlfn.TEXTAFTER(AF25, ", ", 2), " ")</f>
        <v>Neuenstadt am Kocher</v>
      </c>
    </row>
    <row r="26" spans="1:35" x14ac:dyDescent="0.2">
      <c r="A26" t="str">
        <f>B26&amp;C26&amp;H26&amp;N26</f>
        <v>35000971MSG Eintracht ObergriesheimA-Junioren1</v>
      </c>
      <c r="B26" t="s">
        <v>147</v>
      </c>
      <c r="C26" t="s">
        <v>148</v>
      </c>
      <c r="D26" t="s">
        <v>77</v>
      </c>
      <c r="E26" t="s">
        <v>35</v>
      </c>
      <c r="F26" t="s">
        <v>36</v>
      </c>
      <c r="G26">
        <v>3</v>
      </c>
      <c r="H26" t="s">
        <v>37</v>
      </c>
      <c r="I26" t="s">
        <v>114</v>
      </c>
      <c r="J26" t="s">
        <v>115</v>
      </c>
      <c r="K26" t="s">
        <v>116</v>
      </c>
      <c r="L26" s="2" t="s">
        <v>1370</v>
      </c>
      <c r="M26" s="2">
        <v>10</v>
      </c>
      <c r="N26">
        <v>1</v>
      </c>
      <c r="O26" t="s">
        <v>149</v>
      </c>
      <c r="P26" t="s">
        <v>40</v>
      </c>
      <c r="Q26" t="s">
        <v>40</v>
      </c>
      <c r="R26" t="s">
        <v>41</v>
      </c>
      <c r="U26" t="s">
        <v>118</v>
      </c>
      <c r="V26" t="s">
        <v>43</v>
      </c>
      <c r="W26" t="s">
        <v>43</v>
      </c>
      <c r="Y26" t="s">
        <v>43</v>
      </c>
      <c r="Z26" t="s">
        <v>45</v>
      </c>
      <c r="AA26" t="s">
        <v>150</v>
      </c>
      <c r="AB26" t="s">
        <v>151</v>
      </c>
      <c r="AC26" t="s">
        <v>152</v>
      </c>
      <c r="AD26" t="s">
        <v>153</v>
      </c>
      <c r="AE26" t="s">
        <v>150</v>
      </c>
      <c r="AF26" t="s">
        <v>150</v>
      </c>
      <c r="AG26" t="str">
        <f>TRIM(MID(AF26, FIND(", ", AF26)+2, FIND(", ", AF26, FIND(", ", AF26)+1) - FIND(", ", AF26) - 2))</f>
        <v>Mühlweg</v>
      </c>
      <c r="AH26" t="str">
        <f>_xlfn.TEXTBEFORE(_xlfn.TEXTAFTER(AF26, ", ", 2), " ")</f>
        <v>74831</v>
      </c>
      <c r="AI26" t="str">
        <f>_xlfn.TEXTAFTER(_xlfn.TEXTAFTER(AF26, ", ", 2), " ")</f>
        <v>Gundelsheim-Obergriesheim</v>
      </c>
    </row>
    <row r="27" spans="1:35" x14ac:dyDescent="0.2">
      <c r="A27" t="str">
        <f>B27&amp;C27&amp;H27&amp;N27</f>
        <v>35001521SG Bad WimpfenA-Junioren1</v>
      </c>
      <c r="B27" t="s">
        <v>120</v>
      </c>
      <c r="C27" t="s">
        <v>121</v>
      </c>
      <c r="D27" t="s">
        <v>77</v>
      </c>
      <c r="E27" t="s">
        <v>35</v>
      </c>
      <c r="F27" t="s">
        <v>36</v>
      </c>
      <c r="G27">
        <v>3</v>
      </c>
      <c r="H27" t="s">
        <v>37</v>
      </c>
      <c r="I27" t="s">
        <v>114</v>
      </c>
      <c r="J27" t="s">
        <v>115</v>
      </c>
      <c r="K27" t="s">
        <v>116</v>
      </c>
      <c r="L27" s="2" t="s">
        <v>1370</v>
      </c>
      <c r="M27" s="2">
        <v>6</v>
      </c>
      <c r="N27">
        <v>1</v>
      </c>
      <c r="O27" t="s">
        <v>121</v>
      </c>
      <c r="P27" t="s">
        <v>40</v>
      </c>
      <c r="Q27" t="s">
        <v>40</v>
      </c>
      <c r="R27" t="s">
        <v>41</v>
      </c>
      <c r="U27" t="s">
        <v>118</v>
      </c>
      <c r="V27" t="s">
        <v>43</v>
      </c>
      <c r="W27" t="s">
        <v>43</v>
      </c>
      <c r="Y27" t="s">
        <v>43</v>
      </c>
      <c r="Z27" t="s">
        <v>45</v>
      </c>
      <c r="AA27" t="s">
        <v>122</v>
      </c>
      <c r="AB27" t="s">
        <v>43</v>
      </c>
      <c r="AC27" t="s">
        <v>43</v>
      </c>
      <c r="AD27" t="s">
        <v>43</v>
      </c>
      <c r="AE27" t="s">
        <v>43</v>
      </c>
      <c r="AF27" t="str">
        <f>AA27</f>
        <v>Bad Wimpfen Kunstrasen, Erich-Sailer-Str. 59, 74206 Bad Wimpfen-Zentrum</v>
      </c>
      <c r="AG27" t="str">
        <f>TRIM(MID(AF27, FIND(", ", AF27)+2, FIND(", ", AF27, FIND(", ", AF27)+1) - FIND(", ", AF27) - 2))</f>
        <v>Erich-Sailer-Str. 59</v>
      </c>
      <c r="AH27" t="str">
        <f>_xlfn.TEXTBEFORE(_xlfn.TEXTAFTER(AF27, ", ", 2), " ")</f>
        <v>74206</v>
      </c>
      <c r="AI27" t="str">
        <f>_xlfn.TEXTAFTER(_xlfn.TEXTAFTER(AF27, ", ", 2), " ")</f>
        <v>Bad Wimpfen-Zentrum</v>
      </c>
    </row>
    <row r="28" spans="1:35" x14ac:dyDescent="0.2">
      <c r="A28" t="str">
        <f>B28&amp;C28&amp;H28&amp;N28</f>
        <v>35000749TSV KupferzellA-Junioren1</v>
      </c>
      <c r="B28" t="s">
        <v>190</v>
      </c>
      <c r="C28" t="s">
        <v>191</v>
      </c>
      <c r="D28" t="s">
        <v>66</v>
      </c>
      <c r="E28" t="s">
        <v>35</v>
      </c>
      <c r="F28" t="s">
        <v>50</v>
      </c>
      <c r="G28">
        <v>3</v>
      </c>
      <c r="H28" t="s">
        <v>37</v>
      </c>
      <c r="I28" t="s">
        <v>114</v>
      </c>
      <c r="J28" t="s">
        <v>115</v>
      </c>
      <c r="K28" t="s">
        <v>162</v>
      </c>
      <c r="L28" s="2" t="s">
        <v>1369</v>
      </c>
      <c r="M28" s="2">
        <v>10</v>
      </c>
      <c r="N28">
        <v>1</v>
      </c>
      <c r="O28" t="s">
        <v>192</v>
      </c>
      <c r="P28" t="s">
        <v>40</v>
      </c>
      <c r="Q28" t="s">
        <v>40</v>
      </c>
      <c r="R28" t="s">
        <v>41</v>
      </c>
      <c r="U28" t="s">
        <v>118</v>
      </c>
      <c r="V28" t="s">
        <v>43</v>
      </c>
      <c r="W28" t="s">
        <v>43</v>
      </c>
      <c r="Y28" t="s">
        <v>43</v>
      </c>
      <c r="Z28" t="s">
        <v>45</v>
      </c>
      <c r="AA28" t="s">
        <v>193</v>
      </c>
      <c r="AB28" t="s">
        <v>194</v>
      </c>
      <c r="AC28" t="s">
        <v>195</v>
      </c>
      <c r="AD28" t="s">
        <v>196</v>
      </c>
      <c r="AE28" t="s">
        <v>197</v>
      </c>
      <c r="AF28" t="s">
        <v>197</v>
      </c>
      <c r="AG28" t="str">
        <f>TRIM(MID(AF28, FIND(", ", AF28)+2, FIND(", ", AF28, FIND(", ", AF28)+1) - FIND(", ", AF28) - 2))</f>
        <v>Neue Str. 29</v>
      </c>
      <c r="AH28" t="str">
        <f>_xlfn.TEXTBEFORE(_xlfn.TEXTAFTER(AF28, ", ", 2), " ")</f>
        <v>74635</v>
      </c>
      <c r="AI28" t="str">
        <f>_xlfn.TEXTAFTER(_xlfn.TEXTAFTER(AF28, ", ", 2), " ")</f>
        <v>Kupferzell-Zentrum</v>
      </c>
    </row>
    <row r="29" spans="1:35" x14ac:dyDescent="0.2">
      <c r="A29" t="str">
        <f>B29&amp;C29&amp;H29&amp;N29</f>
        <v>35000853SC Michelbach/WaldA-Junioren1</v>
      </c>
      <c r="B29" t="s">
        <v>160</v>
      </c>
      <c r="C29" t="s">
        <v>161</v>
      </c>
      <c r="D29" t="s">
        <v>66</v>
      </c>
      <c r="E29" t="s">
        <v>35</v>
      </c>
      <c r="F29" t="s">
        <v>50</v>
      </c>
      <c r="G29">
        <v>3</v>
      </c>
      <c r="H29" t="s">
        <v>37</v>
      </c>
      <c r="I29" t="s">
        <v>114</v>
      </c>
      <c r="J29" t="s">
        <v>115</v>
      </c>
      <c r="K29" t="s">
        <v>162</v>
      </c>
      <c r="L29" s="2" t="s">
        <v>1369</v>
      </c>
      <c r="M29" s="2">
        <v>8</v>
      </c>
      <c r="N29">
        <v>1</v>
      </c>
      <c r="O29" t="s">
        <v>161</v>
      </c>
      <c r="P29" t="s">
        <v>40</v>
      </c>
      <c r="Q29" t="s">
        <v>40</v>
      </c>
      <c r="R29" t="s">
        <v>41</v>
      </c>
      <c r="U29" t="s">
        <v>118</v>
      </c>
      <c r="V29" t="s">
        <v>43</v>
      </c>
      <c r="W29" t="s">
        <v>43</v>
      </c>
      <c r="Y29" t="s">
        <v>163</v>
      </c>
      <c r="Z29" t="s">
        <v>45</v>
      </c>
      <c r="AA29" t="s">
        <v>164</v>
      </c>
      <c r="AB29" t="s">
        <v>43</v>
      </c>
      <c r="AC29" t="s">
        <v>43</v>
      </c>
      <c r="AD29" t="s">
        <v>43</v>
      </c>
      <c r="AE29" t="s">
        <v>43</v>
      </c>
      <c r="AF29" t="str">
        <f>AA29</f>
        <v>Sportplatz 1 SC Michelbach/Wald, Keltergasse, 74613 Öhringen-Michelbach</v>
      </c>
      <c r="AG29" t="str">
        <f>TRIM(MID(AF29, FIND(", ", AF29)+2, FIND(", ", AF29, FIND(", ", AF29)+1) - FIND(", ", AF29) - 2))</f>
        <v>Keltergasse</v>
      </c>
      <c r="AH29" t="str">
        <f>_xlfn.TEXTBEFORE(_xlfn.TEXTAFTER(AF29, ", ", 2), " ")</f>
        <v>74613</v>
      </c>
      <c r="AI29" t="str">
        <f>_xlfn.TEXTAFTER(_xlfn.TEXTAFTER(AF29, ", ", 2), " ")</f>
        <v>Öhringen-Michelbach</v>
      </c>
    </row>
    <row r="30" spans="1:35" x14ac:dyDescent="0.2">
      <c r="A30" t="str">
        <f>B30&amp;C30&amp;H30&amp;N30</f>
        <v>35000238TSV CrailsheimA-Junioren1</v>
      </c>
      <c r="B30" t="s">
        <v>207</v>
      </c>
      <c r="C30" t="s">
        <v>208</v>
      </c>
      <c r="D30" t="s">
        <v>103</v>
      </c>
      <c r="E30" t="s">
        <v>35</v>
      </c>
      <c r="F30" t="s">
        <v>50</v>
      </c>
      <c r="G30">
        <v>12</v>
      </c>
      <c r="H30" t="s">
        <v>37</v>
      </c>
      <c r="I30" t="s">
        <v>114</v>
      </c>
      <c r="J30" t="s">
        <v>115</v>
      </c>
      <c r="K30" t="s">
        <v>162</v>
      </c>
      <c r="L30" s="2" t="s">
        <v>1369</v>
      </c>
      <c r="M30" s="2">
        <v>1</v>
      </c>
      <c r="N30">
        <v>1</v>
      </c>
      <c r="O30" t="s">
        <v>208</v>
      </c>
      <c r="P30" t="s">
        <v>40</v>
      </c>
      <c r="Q30" t="s">
        <v>40</v>
      </c>
      <c r="R30" t="s">
        <v>41</v>
      </c>
      <c r="U30" t="s">
        <v>118</v>
      </c>
      <c r="V30" t="s">
        <v>43</v>
      </c>
      <c r="W30" t="s">
        <v>43</v>
      </c>
      <c r="Y30" t="s">
        <v>209</v>
      </c>
      <c r="Z30" t="s">
        <v>45</v>
      </c>
      <c r="AA30" t="s">
        <v>210</v>
      </c>
      <c r="AB30" t="s">
        <v>43</v>
      </c>
      <c r="AC30" t="s">
        <v>43</v>
      </c>
      <c r="AD30" t="s">
        <v>43</v>
      </c>
      <c r="AE30" t="s">
        <v>43</v>
      </c>
      <c r="AF30" t="str">
        <f>AA30</f>
        <v>Kunstrasenplatz am Volksfestplatz, Schönebürgstr., 74564 Crailsheim</v>
      </c>
      <c r="AG30" t="str">
        <f>TRIM(MID(AF30, FIND(", ", AF30)+2, FIND(", ", AF30, FIND(", ", AF30)+1) - FIND(", ", AF30) - 2))</f>
        <v>Schönebürgstr.</v>
      </c>
      <c r="AH30" t="str">
        <f>_xlfn.TEXTBEFORE(_xlfn.TEXTAFTER(AF30, ", ", 2), " ")</f>
        <v>74564</v>
      </c>
      <c r="AI30" t="str">
        <f>_xlfn.TEXTAFTER(_xlfn.TEXTAFTER(AF30, ", ", 2), " ")</f>
        <v>Crailsheim</v>
      </c>
    </row>
    <row r="31" spans="1:35" x14ac:dyDescent="0.2">
      <c r="A31" t="str">
        <f>B31&amp;C31&amp;H31&amp;N31</f>
        <v>35000293TSV DünsbachA-Junioren1</v>
      </c>
      <c r="B31" t="s">
        <v>171</v>
      </c>
      <c r="C31" t="s">
        <v>172</v>
      </c>
      <c r="D31" t="s">
        <v>103</v>
      </c>
      <c r="E31" t="s">
        <v>35</v>
      </c>
      <c r="F31" t="s">
        <v>50</v>
      </c>
      <c r="G31">
        <v>12</v>
      </c>
      <c r="H31" t="s">
        <v>37</v>
      </c>
      <c r="I31" t="s">
        <v>114</v>
      </c>
      <c r="J31" t="s">
        <v>115</v>
      </c>
      <c r="K31" t="s">
        <v>162</v>
      </c>
      <c r="L31" s="2" t="s">
        <v>1369</v>
      </c>
      <c r="M31" s="2">
        <v>9</v>
      </c>
      <c r="N31">
        <v>1</v>
      </c>
      <c r="O31" t="s">
        <v>173</v>
      </c>
      <c r="P31" t="s">
        <v>40</v>
      </c>
      <c r="Q31" t="s">
        <v>40</v>
      </c>
      <c r="R31" t="s">
        <v>41</v>
      </c>
      <c r="U31" t="s">
        <v>118</v>
      </c>
      <c r="V31" t="s">
        <v>43</v>
      </c>
      <c r="W31" t="s">
        <v>43</v>
      </c>
      <c r="Y31" t="s">
        <v>174</v>
      </c>
      <c r="Z31" t="s">
        <v>45</v>
      </c>
      <c r="AA31" t="s">
        <v>175</v>
      </c>
      <c r="AB31" t="s">
        <v>43</v>
      </c>
      <c r="AC31" t="s">
        <v>43</v>
      </c>
      <c r="AD31" t="s">
        <v>43</v>
      </c>
      <c r="AE31" t="s">
        <v>43</v>
      </c>
      <c r="AF31" t="str">
        <f>AA31</f>
        <v>Kunstrasenplatz TSV Gerabronn, Jahnstr., 74582 Gerabronn</v>
      </c>
      <c r="AG31" t="str">
        <f>TRIM(MID(AF31, FIND(", ", AF31)+2, FIND(", ", AF31, FIND(", ", AF31)+1) - FIND(", ", AF31) - 2))</f>
        <v>Jahnstr.</v>
      </c>
      <c r="AH31" t="str">
        <f>_xlfn.TEXTBEFORE(_xlfn.TEXTAFTER(AF31, ", ", 2), " ")</f>
        <v>74582</v>
      </c>
      <c r="AI31" t="str">
        <f>_xlfn.TEXTAFTER(_xlfn.TEXTAFTER(AF31, ", ", 2), " ")</f>
        <v>Gerabronn</v>
      </c>
    </row>
    <row r="32" spans="1:35" x14ac:dyDescent="0.2">
      <c r="A32" t="str">
        <f>B32&amp;C32&amp;H32&amp;N32</f>
        <v>35000584Spvgg Hengstfeld-WallhausenA-Junioren1</v>
      </c>
      <c r="B32" t="s">
        <v>176</v>
      </c>
      <c r="C32" t="s">
        <v>177</v>
      </c>
      <c r="D32" t="s">
        <v>103</v>
      </c>
      <c r="E32" t="s">
        <v>35</v>
      </c>
      <c r="F32" t="s">
        <v>50</v>
      </c>
      <c r="G32">
        <v>12</v>
      </c>
      <c r="H32" t="s">
        <v>37</v>
      </c>
      <c r="I32" t="s">
        <v>114</v>
      </c>
      <c r="J32" t="s">
        <v>115</v>
      </c>
      <c r="K32" t="s">
        <v>162</v>
      </c>
      <c r="L32" s="2" t="s">
        <v>1369</v>
      </c>
      <c r="M32" s="2">
        <v>6</v>
      </c>
      <c r="N32">
        <v>1</v>
      </c>
      <c r="O32" t="s">
        <v>178</v>
      </c>
      <c r="P32" t="s">
        <v>40</v>
      </c>
      <c r="Q32" t="s">
        <v>40</v>
      </c>
      <c r="R32" t="s">
        <v>41</v>
      </c>
      <c r="U32" t="s">
        <v>118</v>
      </c>
      <c r="V32" t="s">
        <v>43</v>
      </c>
      <c r="W32" t="s">
        <v>43</v>
      </c>
      <c r="Y32" t="s">
        <v>43</v>
      </c>
      <c r="Z32" t="s">
        <v>45</v>
      </c>
      <c r="AA32" t="s">
        <v>179</v>
      </c>
      <c r="AB32" t="s">
        <v>43</v>
      </c>
      <c r="AC32" t="s">
        <v>43</v>
      </c>
      <c r="AD32" t="s">
        <v>43</v>
      </c>
      <c r="AE32" t="s">
        <v>43</v>
      </c>
      <c r="AF32" t="str">
        <f>AA32</f>
        <v>Kunstrasenplatz Rot am See, An den Sportanlagen 6, 74585 Rot am See</v>
      </c>
      <c r="AG32" t="str">
        <f>TRIM(MID(AF32, FIND(", ", AF32)+2, FIND(", ", AF32, FIND(", ", AF32)+1) - FIND(", ", AF32) - 2))</f>
        <v>An den Sportanlagen 6</v>
      </c>
      <c r="AH32" t="str">
        <f>_xlfn.TEXTBEFORE(_xlfn.TEXTAFTER(AF32, ", ", 2), " ")</f>
        <v>74585</v>
      </c>
      <c r="AI32" t="str">
        <f>_xlfn.TEXTAFTER(_xlfn.TEXTAFTER(AF32, ", ", 2), " ")</f>
        <v>Rot am See</v>
      </c>
    </row>
    <row r="33" spans="1:35" x14ac:dyDescent="0.2">
      <c r="A33" t="str">
        <f>B33&amp;C33&amp;H33&amp;N33</f>
        <v>35000534SSV Schwäbisch HallA-Junioren1</v>
      </c>
      <c r="B33" t="s">
        <v>180</v>
      </c>
      <c r="C33" t="s">
        <v>181</v>
      </c>
      <c r="D33" t="s">
        <v>58</v>
      </c>
      <c r="E33" t="s">
        <v>35</v>
      </c>
      <c r="F33" t="s">
        <v>50</v>
      </c>
      <c r="G33">
        <v>12</v>
      </c>
      <c r="H33" t="s">
        <v>37</v>
      </c>
      <c r="I33" t="s">
        <v>114</v>
      </c>
      <c r="J33" t="s">
        <v>115</v>
      </c>
      <c r="K33" t="s">
        <v>162</v>
      </c>
      <c r="L33" s="2" t="s">
        <v>1369</v>
      </c>
      <c r="M33" s="2">
        <v>4</v>
      </c>
      <c r="N33">
        <v>1</v>
      </c>
      <c r="O33" t="s">
        <v>182</v>
      </c>
      <c r="P33" t="s">
        <v>40</v>
      </c>
      <c r="Q33" t="s">
        <v>40</v>
      </c>
      <c r="R33" t="s">
        <v>41</v>
      </c>
      <c r="U33" t="s">
        <v>118</v>
      </c>
      <c r="V33" t="s">
        <v>43</v>
      </c>
      <c r="W33" t="s">
        <v>43</v>
      </c>
      <c r="Y33" t="s">
        <v>43</v>
      </c>
      <c r="Z33" t="s">
        <v>45</v>
      </c>
      <c r="AA33" t="s">
        <v>183</v>
      </c>
      <c r="AB33" t="s">
        <v>43</v>
      </c>
      <c r="AC33" t="s">
        <v>43</v>
      </c>
      <c r="AD33" t="s">
        <v>43</v>
      </c>
      <c r="AE33" t="s">
        <v>43</v>
      </c>
      <c r="AF33" t="str">
        <f>AA33</f>
        <v>Sportplatz 1 SSV SHA, Breiteichstr. 49, 74523 Schwäbisch Hall</v>
      </c>
      <c r="AG33" t="str">
        <f>TRIM(MID(AF33, FIND(", ", AF33)+2, FIND(", ", AF33, FIND(", ", AF33)+1) - FIND(", ", AF33) - 2))</f>
        <v>Breiteichstr. 49</v>
      </c>
      <c r="AH33" t="str">
        <f>_xlfn.TEXTBEFORE(_xlfn.TEXTAFTER(AF33, ", ", 2), " ")</f>
        <v>74523</v>
      </c>
      <c r="AI33" t="str">
        <f>_xlfn.TEXTAFTER(_xlfn.TEXTAFTER(AF33, ", ", 2), " ")</f>
        <v>Schwäbisch Hall</v>
      </c>
    </row>
    <row r="34" spans="1:35" x14ac:dyDescent="0.2">
      <c r="A34" t="str">
        <f>B34&amp;C34&amp;H34&amp;N34</f>
        <v>35001186TSV SulzdorfA-Junioren1</v>
      </c>
      <c r="B34" t="s">
        <v>184</v>
      </c>
      <c r="C34" t="s">
        <v>185</v>
      </c>
      <c r="D34" t="s">
        <v>58</v>
      </c>
      <c r="E34" t="s">
        <v>35</v>
      </c>
      <c r="F34" t="s">
        <v>50</v>
      </c>
      <c r="G34">
        <v>12</v>
      </c>
      <c r="H34" t="s">
        <v>37</v>
      </c>
      <c r="I34" t="s">
        <v>114</v>
      </c>
      <c r="J34" t="s">
        <v>115</v>
      </c>
      <c r="K34" t="s">
        <v>162</v>
      </c>
      <c r="L34" s="2" t="s">
        <v>1369</v>
      </c>
      <c r="M34" s="2">
        <v>7</v>
      </c>
      <c r="N34">
        <v>1</v>
      </c>
      <c r="O34" t="s">
        <v>186</v>
      </c>
      <c r="P34" t="s">
        <v>40</v>
      </c>
      <c r="Q34" t="s">
        <v>40</v>
      </c>
      <c r="R34" t="s">
        <v>41</v>
      </c>
      <c r="U34" t="s">
        <v>118</v>
      </c>
      <c r="V34" t="s">
        <v>43</v>
      </c>
      <c r="W34" t="s">
        <v>43</v>
      </c>
      <c r="Y34" t="s">
        <v>43</v>
      </c>
      <c r="Z34" t="s">
        <v>45</v>
      </c>
      <c r="AA34" t="s">
        <v>187</v>
      </c>
      <c r="AB34" t="s">
        <v>188</v>
      </c>
      <c r="AC34" t="s">
        <v>189</v>
      </c>
      <c r="AD34" t="s">
        <v>43</v>
      </c>
      <c r="AE34" t="s">
        <v>43</v>
      </c>
      <c r="AF34" t="str">
        <f>AC34</f>
        <v>Sportplatz 1 TSV Hessental, Im Wacholder 1, 74523 Schwäbisch Hall-Hessental</v>
      </c>
      <c r="AG34" t="str">
        <f>TRIM(MID(AF34, FIND(", ", AF34)+2, FIND(", ", AF34, FIND(", ", AF34)+1) - FIND(", ", AF34) - 2))</f>
        <v>Im Wacholder 1</v>
      </c>
      <c r="AH34" t="str">
        <f>_xlfn.TEXTBEFORE(_xlfn.TEXTAFTER(AF34, ", ", 2), " ")</f>
        <v>74523</v>
      </c>
      <c r="AI34" t="str">
        <f>_xlfn.TEXTAFTER(_xlfn.TEXTAFTER(AF34, ", ", 2), " ")</f>
        <v>Schwäbisch Hall-Hessental</v>
      </c>
    </row>
    <row r="35" spans="1:35" x14ac:dyDescent="0.2">
      <c r="A35" t="str">
        <f>B35&amp;C35&amp;H35&amp;N35</f>
        <v>35001250SC Steinbach-ComburgA-Junioren1</v>
      </c>
      <c r="B35" t="s">
        <v>165</v>
      </c>
      <c r="C35" t="s">
        <v>166</v>
      </c>
      <c r="D35" t="s">
        <v>58</v>
      </c>
      <c r="E35" t="s">
        <v>35</v>
      </c>
      <c r="F35" t="s">
        <v>50</v>
      </c>
      <c r="G35">
        <v>12</v>
      </c>
      <c r="H35" t="s">
        <v>37</v>
      </c>
      <c r="I35" t="s">
        <v>114</v>
      </c>
      <c r="J35" t="s">
        <v>115</v>
      </c>
      <c r="K35" t="s">
        <v>162</v>
      </c>
      <c r="L35" s="2" t="s">
        <v>1369</v>
      </c>
      <c r="M35" s="2">
        <v>2</v>
      </c>
      <c r="N35">
        <v>1</v>
      </c>
      <c r="O35" t="s">
        <v>167</v>
      </c>
      <c r="P35" t="s">
        <v>40</v>
      </c>
      <c r="Q35" t="s">
        <v>40</v>
      </c>
      <c r="R35" t="s">
        <v>41</v>
      </c>
      <c r="U35" t="s">
        <v>118</v>
      </c>
      <c r="V35" t="s">
        <v>43</v>
      </c>
      <c r="W35" t="s">
        <v>43</v>
      </c>
      <c r="Y35" t="s">
        <v>43</v>
      </c>
      <c r="Z35" t="s">
        <v>45</v>
      </c>
      <c r="AA35" t="s">
        <v>168</v>
      </c>
      <c r="AB35" t="s">
        <v>169</v>
      </c>
      <c r="AC35" t="s">
        <v>170</v>
      </c>
      <c r="AD35" t="s">
        <v>43</v>
      </c>
      <c r="AE35" t="s">
        <v>43</v>
      </c>
      <c r="AF35" t="str">
        <f>AC35</f>
        <v>Kunstrasenplatz am Hagenbachstadion, Hagenbacher Ring, 74523 Schwäbisch Hall</v>
      </c>
      <c r="AG35" t="str">
        <f>TRIM(MID(AF35, FIND(", ", AF35)+2, FIND(", ", AF35, FIND(", ", AF35)+1) - FIND(", ", AF35) - 2))</f>
        <v>Hagenbacher Ring</v>
      </c>
      <c r="AH35" t="str">
        <f>_xlfn.TEXTBEFORE(_xlfn.TEXTAFTER(AF35, ", ", 2), " ")</f>
        <v>74523</v>
      </c>
      <c r="AI35" t="str">
        <f>_xlfn.TEXTAFTER(_xlfn.TEXTAFTER(AF35, ", ", 2), " ")</f>
        <v>Schwäbisch Hall</v>
      </c>
    </row>
    <row r="36" spans="1:35" x14ac:dyDescent="0.2">
      <c r="A36" t="str">
        <f>B36&amp;C36&amp;H36&amp;N36</f>
        <v>35001432TSV VellbergA-Junioren1</v>
      </c>
      <c r="B36" t="s">
        <v>198</v>
      </c>
      <c r="C36" t="s">
        <v>199</v>
      </c>
      <c r="D36" t="s">
        <v>58</v>
      </c>
      <c r="E36" t="s">
        <v>35</v>
      </c>
      <c r="F36" t="s">
        <v>50</v>
      </c>
      <c r="G36">
        <v>12</v>
      </c>
      <c r="H36" t="s">
        <v>37</v>
      </c>
      <c r="I36" t="s">
        <v>114</v>
      </c>
      <c r="J36" t="s">
        <v>115</v>
      </c>
      <c r="K36" t="s">
        <v>162</v>
      </c>
      <c r="L36" s="2" t="s">
        <v>1369</v>
      </c>
      <c r="M36" s="2">
        <v>5</v>
      </c>
      <c r="N36">
        <v>1</v>
      </c>
      <c r="O36" t="s">
        <v>200</v>
      </c>
      <c r="P36" t="s">
        <v>40</v>
      </c>
      <c r="Q36" t="s">
        <v>40</v>
      </c>
      <c r="R36" t="s">
        <v>41</v>
      </c>
      <c r="U36" t="s">
        <v>118</v>
      </c>
      <c r="V36" t="s">
        <v>43</v>
      </c>
      <c r="W36" t="s">
        <v>43</v>
      </c>
      <c r="Y36" t="s">
        <v>43</v>
      </c>
      <c r="Z36" t="s">
        <v>45</v>
      </c>
      <c r="AA36" t="s">
        <v>201</v>
      </c>
      <c r="AB36" t="s">
        <v>43</v>
      </c>
      <c r="AC36" t="s">
        <v>43</v>
      </c>
      <c r="AD36" t="s">
        <v>43</v>
      </c>
      <c r="AE36" t="s">
        <v>43</v>
      </c>
      <c r="AF36" t="str">
        <f>AA36</f>
        <v>Sportplatz 1, TSV Vellberg, In den Sportanlagen 1, 74541 Vellberg-Talheim</v>
      </c>
      <c r="AG36" t="str">
        <f>_xlfn.TEXTBEFORE(_xlfn.TEXTAFTER(AF36, ", ", 2), ",")</f>
        <v>In den Sportanlagen 1</v>
      </c>
      <c r="AH36" t="str">
        <f>_xlfn.TEXTBEFORE(_xlfn.TEXTAFTER(AF36, ", ", 3), " ")</f>
        <v>74541</v>
      </c>
      <c r="AI36" t="str">
        <f>_xlfn.TEXTAFTER(_xlfn.TEXTAFTER(AF36, ", ", 3), " ")</f>
        <v>Vellberg-Talheim</v>
      </c>
    </row>
    <row r="37" spans="1:35" x14ac:dyDescent="0.2">
      <c r="A37" t="str">
        <f>B37&amp;C37&amp;H37&amp;N37</f>
        <v>35000846VfB Bad MergentheimA-Junioren1</v>
      </c>
      <c r="B37" t="s">
        <v>202</v>
      </c>
      <c r="C37" t="s">
        <v>203</v>
      </c>
      <c r="D37" t="s">
        <v>204</v>
      </c>
      <c r="E37" t="s">
        <v>35</v>
      </c>
      <c r="F37" t="s">
        <v>50</v>
      </c>
      <c r="G37">
        <v>3</v>
      </c>
      <c r="H37" t="s">
        <v>37</v>
      </c>
      <c r="I37" t="s">
        <v>114</v>
      </c>
      <c r="J37" t="s">
        <v>115</v>
      </c>
      <c r="K37" t="s">
        <v>162</v>
      </c>
      <c r="L37" s="2" t="s">
        <v>1369</v>
      </c>
      <c r="M37" s="2">
        <v>3</v>
      </c>
      <c r="N37">
        <v>1</v>
      </c>
      <c r="O37" t="s">
        <v>205</v>
      </c>
      <c r="P37" t="s">
        <v>40</v>
      </c>
      <c r="Q37" t="s">
        <v>40</v>
      </c>
      <c r="R37" t="s">
        <v>41</v>
      </c>
      <c r="U37" t="s">
        <v>118</v>
      </c>
      <c r="V37" t="s">
        <v>43</v>
      </c>
      <c r="W37" t="s">
        <v>43</v>
      </c>
      <c r="Y37" t="s">
        <v>43</v>
      </c>
      <c r="Z37" t="s">
        <v>45</v>
      </c>
      <c r="AA37" t="s">
        <v>206</v>
      </c>
      <c r="AB37" t="s">
        <v>43</v>
      </c>
      <c r="AC37" t="s">
        <v>43</v>
      </c>
      <c r="AD37" t="s">
        <v>43</v>
      </c>
      <c r="AE37" t="s">
        <v>43</v>
      </c>
      <c r="AF37" t="str">
        <f>AA37</f>
        <v>Sportplatz an der Erlenbachtalhalle Igersheim, Erlenbachtalstr., 97999 Igersheim-Zentrum</v>
      </c>
      <c r="AG37" t="str">
        <f>TRIM(MID(AF37, FIND(", ", AF37)+2, FIND(", ", AF37, FIND(", ", AF37)+1) - FIND(", ", AF37) - 2))</f>
        <v>Erlenbachtalstr.</v>
      </c>
      <c r="AH37" t="str">
        <f>_xlfn.TEXTBEFORE(_xlfn.TEXTAFTER(AF37, ", ", 2), " ")</f>
        <v>97999</v>
      </c>
      <c r="AI37" t="str">
        <f>_xlfn.TEXTAFTER(_xlfn.TEXTAFTER(AF37, ", ", 2), " ")</f>
        <v>Igersheim-Zentrum</v>
      </c>
    </row>
    <row r="38" spans="1:35" x14ac:dyDescent="0.2">
      <c r="A38" t="str">
        <f>B38&amp;C38&amp;H38&amp;N38</f>
        <v>35000187TG BöckingenA-Junioren1</v>
      </c>
      <c r="B38" t="s">
        <v>229</v>
      </c>
      <c r="C38" t="s">
        <v>230</v>
      </c>
      <c r="D38" t="s">
        <v>34</v>
      </c>
      <c r="E38" t="s">
        <v>35</v>
      </c>
      <c r="F38" t="s">
        <v>36</v>
      </c>
      <c r="G38">
        <v>3</v>
      </c>
      <c r="H38" t="s">
        <v>37</v>
      </c>
      <c r="I38" t="s">
        <v>114</v>
      </c>
      <c r="J38" t="s">
        <v>213</v>
      </c>
      <c r="K38" t="s">
        <v>214</v>
      </c>
      <c r="L38" s="2" t="s">
        <v>1371</v>
      </c>
      <c r="M38" s="2">
        <v>6</v>
      </c>
      <c r="N38">
        <v>1</v>
      </c>
      <c r="O38" t="s">
        <v>230</v>
      </c>
      <c r="P38" t="s">
        <v>40</v>
      </c>
      <c r="Q38" t="s">
        <v>40</v>
      </c>
      <c r="R38" t="s">
        <v>41</v>
      </c>
      <c r="U38" t="s">
        <v>118</v>
      </c>
      <c r="V38" t="s">
        <v>43</v>
      </c>
      <c r="W38" t="s">
        <v>43</v>
      </c>
      <c r="Y38" t="s">
        <v>43</v>
      </c>
      <c r="Z38" t="s">
        <v>45</v>
      </c>
      <c r="AA38" t="s">
        <v>231</v>
      </c>
      <c r="AB38" t="s">
        <v>43</v>
      </c>
      <c r="AC38" t="s">
        <v>43</v>
      </c>
      <c r="AD38" t="s">
        <v>43</v>
      </c>
      <c r="AE38" t="s">
        <v>43</v>
      </c>
      <c r="AF38" t="str">
        <f>AA38</f>
        <v>Böckingen (TG) Viehweide Kunstrasen, Viehweide 20, 74080 Heilbronn-Böckingen</v>
      </c>
      <c r="AG38" t="str">
        <f>TRIM(MID(AF38, FIND(", ", AF38)+2, FIND(", ", AF38, FIND(", ", AF38)+1) - FIND(", ", AF38) - 2))</f>
        <v>Viehweide 20</v>
      </c>
      <c r="AH38" t="str">
        <f>_xlfn.TEXTBEFORE(_xlfn.TEXTAFTER(AF38, ", ", 2), " ")</f>
        <v>74080</v>
      </c>
      <c r="AI38" t="str">
        <f>_xlfn.TEXTAFTER(_xlfn.TEXTAFTER(AF38, ", ", 2), " ")</f>
        <v>Heilbronn-Böckingen</v>
      </c>
    </row>
    <row r="39" spans="1:35" x14ac:dyDescent="0.2">
      <c r="A39" t="str">
        <f>B39&amp;C39&amp;H39&amp;N39</f>
        <v>35000411Sportverein Heilbronn am Leinbach 1891A-Junioren1</v>
      </c>
      <c r="B39" t="s">
        <v>223</v>
      </c>
      <c r="C39" t="s">
        <v>224</v>
      </c>
      <c r="D39" t="s">
        <v>34</v>
      </c>
      <c r="E39" t="s">
        <v>35</v>
      </c>
      <c r="F39" t="s">
        <v>36</v>
      </c>
      <c r="G39">
        <v>3</v>
      </c>
      <c r="H39" t="s">
        <v>37</v>
      </c>
      <c r="I39" t="s">
        <v>114</v>
      </c>
      <c r="J39" t="s">
        <v>213</v>
      </c>
      <c r="K39" t="s">
        <v>214</v>
      </c>
      <c r="L39" s="2" t="s">
        <v>1371</v>
      </c>
      <c r="M39" s="2">
        <v>2</v>
      </c>
      <c r="N39">
        <v>1</v>
      </c>
      <c r="O39" t="s">
        <v>225</v>
      </c>
      <c r="P39" t="s">
        <v>40</v>
      </c>
      <c r="Q39" t="s">
        <v>40</v>
      </c>
      <c r="R39" t="s">
        <v>41</v>
      </c>
      <c r="U39" t="s">
        <v>226</v>
      </c>
      <c r="V39" t="s">
        <v>43</v>
      </c>
      <c r="W39" t="s">
        <v>43</v>
      </c>
      <c r="Y39" t="s">
        <v>227</v>
      </c>
      <c r="Z39" t="s">
        <v>45</v>
      </c>
      <c r="AA39" t="s">
        <v>228</v>
      </c>
      <c r="AB39" t="s">
        <v>43</v>
      </c>
      <c r="AC39" t="s">
        <v>43</v>
      </c>
      <c r="AD39" t="s">
        <v>43</v>
      </c>
      <c r="AE39" t="s">
        <v>43</v>
      </c>
      <c r="AF39" t="str">
        <f>AA39</f>
        <v>Frankenbach Rasen, Riedweg 52, 74078 Heilbronn-Frankenbach</v>
      </c>
      <c r="AG39" t="str">
        <f>TRIM(MID(AF39, FIND(", ", AF39)+2, FIND(", ", AF39, FIND(", ", AF39)+1) - FIND(", ", AF39) - 2))</f>
        <v>Riedweg 52</v>
      </c>
      <c r="AH39" t="str">
        <f>_xlfn.TEXTBEFORE(_xlfn.TEXTAFTER(AF39, ", ", 2), " ")</f>
        <v>74078</v>
      </c>
      <c r="AI39" t="str">
        <f>_xlfn.TEXTAFTER(_xlfn.TEXTAFTER(AF39, ", ", 2), " ")</f>
        <v>Heilbronn-Frankenbach</v>
      </c>
    </row>
    <row r="40" spans="1:35" x14ac:dyDescent="0.2">
      <c r="A40" t="str">
        <f>B40&amp;C40&amp;H40&amp;N40</f>
        <v>35000774TSV LehrensteinsfeldA-Junioren1</v>
      </c>
      <c r="B40" t="s">
        <v>211</v>
      </c>
      <c r="C40" t="s">
        <v>212</v>
      </c>
      <c r="D40" t="s">
        <v>34</v>
      </c>
      <c r="E40" t="s">
        <v>35</v>
      </c>
      <c r="F40" t="s">
        <v>36</v>
      </c>
      <c r="G40">
        <v>3</v>
      </c>
      <c r="H40" t="s">
        <v>37</v>
      </c>
      <c r="I40" t="s">
        <v>114</v>
      </c>
      <c r="J40" t="s">
        <v>213</v>
      </c>
      <c r="K40" t="s">
        <v>214</v>
      </c>
      <c r="L40" s="2" t="s">
        <v>1371</v>
      </c>
      <c r="M40" s="2">
        <v>1</v>
      </c>
      <c r="N40">
        <v>1</v>
      </c>
      <c r="O40" t="s">
        <v>215</v>
      </c>
      <c r="P40" t="s">
        <v>40</v>
      </c>
      <c r="Q40" t="s">
        <v>40</v>
      </c>
      <c r="R40" t="s">
        <v>41</v>
      </c>
      <c r="U40" t="s">
        <v>118</v>
      </c>
      <c r="V40" t="s">
        <v>43</v>
      </c>
      <c r="W40" t="s">
        <v>43</v>
      </c>
      <c r="Y40" t="s">
        <v>43</v>
      </c>
      <c r="Z40" t="s">
        <v>45</v>
      </c>
      <c r="AA40" t="s">
        <v>216</v>
      </c>
      <c r="AB40" t="s">
        <v>43</v>
      </c>
      <c r="AC40" t="s">
        <v>43</v>
      </c>
      <c r="AD40" t="s">
        <v>43</v>
      </c>
      <c r="AE40" t="s">
        <v>43</v>
      </c>
      <c r="AF40" t="str">
        <f>AA40</f>
        <v>Lehrensteinsfeld Rasen, Seestr., 74251 Lehrensteinsfeld-Zentrum</v>
      </c>
      <c r="AG40" t="str">
        <f>TRIM(MID(AF40, FIND(", ", AF40)+2, FIND(", ", AF40, FIND(", ", AF40)+1) - FIND(", ", AF40) - 2))</f>
        <v>Seestr.</v>
      </c>
      <c r="AH40" t="str">
        <f>_xlfn.TEXTBEFORE(_xlfn.TEXTAFTER(AF40, ", ", 2), " ")</f>
        <v>74251</v>
      </c>
      <c r="AI40" t="str">
        <f>_xlfn.TEXTAFTER(_xlfn.TEXTAFTER(AF40, ", ", 2), " ")</f>
        <v>Lehrensteinsfeld-Zentrum</v>
      </c>
    </row>
    <row r="41" spans="1:35" x14ac:dyDescent="0.2">
      <c r="A41" t="str">
        <f>B41&amp;C41&amp;H41&amp;N41</f>
        <v>35000842TSV MeimsheimA-Junioren1</v>
      </c>
      <c r="B41" t="s">
        <v>217</v>
      </c>
      <c r="C41" t="s">
        <v>218</v>
      </c>
      <c r="D41" t="s">
        <v>34</v>
      </c>
      <c r="E41" t="s">
        <v>35</v>
      </c>
      <c r="F41" t="s">
        <v>36</v>
      </c>
      <c r="G41">
        <v>3</v>
      </c>
      <c r="H41" t="s">
        <v>37</v>
      </c>
      <c r="I41" t="s">
        <v>114</v>
      </c>
      <c r="J41" t="s">
        <v>213</v>
      </c>
      <c r="K41" t="s">
        <v>214</v>
      </c>
      <c r="L41" s="2" t="s">
        <v>1371</v>
      </c>
      <c r="M41" s="2">
        <v>5</v>
      </c>
      <c r="N41">
        <v>1</v>
      </c>
      <c r="O41" t="s">
        <v>219</v>
      </c>
      <c r="P41" t="s">
        <v>40</v>
      </c>
      <c r="Q41" t="s">
        <v>40</v>
      </c>
      <c r="R41" t="s">
        <v>41</v>
      </c>
      <c r="U41" t="s">
        <v>118</v>
      </c>
      <c r="V41" t="s">
        <v>43</v>
      </c>
      <c r="W41" t="s">
        <v>43</v>
      </c>
      <c r="Y41" t="s">
        <v>43</v>
      </c>
      <c r="Z41" t="s">
        <v>45</v>
      </c>
      <c r="AA41" t="s">
        <v>220</v>
      </c>
      <c r="AB41" t="s">
        <v>221</v>
      </c>
      <c r="AC41" t="s">
        <v>222</v>
      </c>
      <c r="AD41" t="s">
        <v>43</v>
      </c>
      <c r="AE41" t="s">
        <v>43</v>
      </c>
      <c r="AF41" t="str">
        <f>AC41</f>
        <v>Lauffen Rasen 3, Am Forchenwald, 74348 Lauffen am Neckar-Zentrum</v>
      </c>
      <c r="AG41" t="str">
        <f>TRIM(MID(AF41, FIND(", ", AF41)+2, FIND(", ", AF41, FIND(", ", AF41)+1) - FIND(", ", AF41) - 2))</f>
        <v>Am Forchenwald</v>
      </c>
      <c r="AH41" t="str">
        <f>_xlfn.TEXTBEFORE(_xlfn.TEXTAFTER(AF41, ", ", 2), " ")</f>
        <v>74348</v>
      </c>
      <c r="AI41" t="str">
        <f>_xlfn.TEXTAFTER(_xlfn.TEXTAFTER(AF41, ", ", 2), " ")</f>
        <v>Lauffen am Neckar-Zentrum</v>
      </c>
    </row>
    <row r="42" spans="1:35" x14ac:dyDescent="0.2">
      <c r="A42" t="str">
        <f>B42&amp;C42&amp;H42&amp;N42</f>
        <v>35001402TSV UntergruppenbachA-Junioren1</v>
      </c>
      <c r="B42" t="s">
        <v>232</v>
      </c>
      <c r="C42" t="s">
        <v>233</v>
      </c>
      <c r="D42" t="s">
        <v>34</v>
      </c>
      <c r="E42" t="s">
        <v>35</v>
      </c>
      <c r="F42" t="s">
        <v>36</v>
      </c>
      <c r="G42">
        <v>3</v>
      </c>
      <c r="H42" t="s">
        <v>37</v>
      </c>
      <c r="I42" t="s">
        <v>114</v>
      </c>
      <c r="J42" t="s">
        <v>213</v>
      </c>
      <c r="K42" t="s">
        <v>214</v>
      </c>
      <c r="L42" s="2" t="s">
        <v>1371</v>
      </c>
      <c r="M42" s="2">
        <v>4</v>
      </c>
      <c r="N42">
        <v>1</v>
      </c>
      <c r="O42" t="s">
        <v>233</v>
      </c>
      <c r="P42" t="s">
        <v>40</v>
      </c>
      <c r="Q42" t="s">
        <v>40</v>
      </c>
      <c r="R42" t="s">
        <v>41</v>
      </c>
      <c r="U42" t="s">
        <v>118</v>
      </c>
      <c r="V42" t="s">
        <v>43</v>
      </c>
      <c r="W42" t="s">
        <v>43</v>
      </c>
      <c r="Y42" t="s">
        <v>43</v>
      </c>
      <c r="Z42" t="s">
        <v>45</v>
      </c>
      <c r="AA42" t="s">
        <v>234</v>
      </c>
      <c r="AB42" t="s">
        <v>43</v>
      </c>
      <c r="AC42" t="s">
        <v>43</v>
      </c>
      <c r="AD42" t="s">
        <v>43</v>
      </c>
      <c r="AE42" t="s">
        <v>43</v>
      </c>
      <c r="AF42" t="str">
        <f>AA42</f>
        <v>Untergruppenbach Rasen 1 (Stadion), Obergruppenbacher Str., 74199 Untergruppenbach-Zentrum</v>
      </c>
      <c r="AG42" t="str">
        <f>TRIM(MID(AF42, FIND(", ", AF42)+2, FIND(", ", AF42, FIND(", ", AF42)+1) - FIND(", ", AF42) - 2))</f>
        <v>Obergruppenbacher Str.</v>
      </c>
      <c r="AH42" t="str">
        <f>_xlfn.TEXTBEFORE(_xlfn.TEXTAFTER(AF42, ", ", 2), " ")</f>
        <v>74199</v>
      </c>
      <c r="AI42" t="str">
        <f>_xlfn.TEXTAFTER(_xlfn.TEXTAFTER(AF42, ", ", 2), " ")</f>
        <v>Untergruppenbach-Zentrum</v>
      </c>
    </row>
    <row r="43" spans="1:35" x14ac:dyDescent="0.2">
      <c r="A43" t="str">
        <f>B43&amp;C43&amp;H43&amp;N43</f>
        <v>35001490TSV WeinsbergA-Junioren1</v>
      </c>
      <c r="B43" t="s">
        <v>235</v>
      </c>
      <c r="C43" t="s">
        <v>236</v>
      </c>
      <c r="D43" t="s">
        <v>34</v>
      </c>
      <c r="E43" t="s">
        <v>35</v>
      </c>
      <c r="F43" t="s">
        <v>36</v>
      </c>
      <c r="G43">
        <v>3</v>
      </c>
      <c r="H43" t="s">
        <v>37</v>
      </c>
      <c r="I43" t="s">
        <v>114</v>
      </c>
      <c r="J43" t="s">
        <v>213</v>
      </c>
      <c r="K43" t="s">
        <v>214</v>
      </c>
      <c r="L43" s="2" t="s">
        <v>1371</v>
      </c>
      <c r="M43" s="2">
        <v>3</v>
      </c>
      <c r="N43">
        <v>1</v>
      </c>
      <c r="O43" t="s">
        <v>236</v>
      </c>
      <c r="P43" t="s">
        <v>40</v>
      </c>
      <c r="Q43" t="s">
        <v>40</v>
      </c>
      <c r="R43" t="s">
        <v>41</v>
      </c>
      <c r="U43" t="s">
        <v>118</v>
      </c>
      <c r="V43" t="s">
        <v>43</v>
      </c>
      <c r="W43" t="s">
        <v>43</v>
      </c>
      <c r="Y43" t="s">
        <v>43</v>
      </c>
      <c r="Z43" t="s">
        <v>45</v>
      </c>
      <c r="AA43" t="s">
        <v>237</v>
      </c>
      <c r="AB43" t="s">
        <v>43</v>
      </c>
      <c r="AC43" t="s">
        <v>43</v>
      </c>
      <c r="AD43" t="s">
        <v>43</v>
      </c>
      <c r="AE43" t="s">
        <v>43</v>
      </c>
      <c r="AF43" t="str">
        <f>AA43</f>
        <v>Weinsberg Rasen 2, Rappenhofweg, 74189 Weinsberg-Zentrum</v>
      </c>
      <c r="AG43" t="str">
        <f>TRIM(MID(AF43, FIND(", ", AF43)+2, FIND(", ", AF43, FIND(", ", AF43)+1) - FIND(", ", AF43) - 2))</f>
        <v>Rappenhofweg</v>
      </c>
      <c r="AH43" t="str">
        <f>_xlfn.TEXTBEFORE(_xlfn.TEXTAFTER(AF43, ", ", 2), " ")</f>
        <v>74189</v>
      </c>
      <c r="AI43" t="str">
        <f>_xlfn.TEXTAFTER(_xlfn.TEXTAFTER(AF43, ", ", 2), " ")</f>
        <v>Weinsberg-Zentrum</v>
      </c>
    </row>
    <row r="44" spans="1:35" x14ac:dyDescent="0.2">
      <c r="A44" t="str">
        <f>B44&amp;C44&amp;H44&amp;N44</f>
        <v>35000079SSV AuensteinA-Junioren1</v>
      </c>
      <c r="B44" t="s">
        <v>271</v>
      </c>
      <c r="C44" t="s">
        <v>272</v>
      </c>
      <c r="D44" t="s">
        <v>34</v>
      </c>
      <c r="E44" t="s">
        <v>35</v>
      </c>
      <c r="F44" t="s">
        <v>36</v>
      </c>
      <c r="G44">
        <v>3</v>
      </c>
      <c r="H44" t="s">
        <v>37</v>
      </c>
      <c r="I44" t="s">
        <v>114</v>
      </c>
      <c r="J44" t="s">
        <v>213</v>
      </c>
      <c r="K44" t="s">
        <v>240</v>
      </c>
      <c r="L44" s="2" t="s">
        <v>1372</v>
      </c>
      <c r="M44" s="2">
        <v>1</v>
      </c>
      <c r="N44">
        <v>1</v>
      </c>
      <c r="O44" t="s">
        <v>272</v>
      </c>
      <c r="P44" t="s">
        <v>40</v>
      </c>
      <c r="Q44" t="s">
        <v>40</v>
      </c>
      <c r="R44" t="s">
        <v>41</v>
      </c>
      <c r="U44" t="s">
        <v>226</v>
      </c>
      <c r="V44" t="s">
        <v>43</v>
      </c>
      <c r="W44" t="s">
        <v>43</v>
      </c>
      <c r="X44" t="s">
        <v>273</v>
      </c>
      <c r="Y44" s="4" t="s">
        <v>274</v>
      </c>
      <c r="Z44" t="s">
        <v>45</v>
      </c>
      <c r="AA44" t="s">
        <v>275</v>
      </c>
      <c r="AB44" t="s">
        <v>43</v>
      </c>
      <c r="AC44" t="s">
        <v>43</v>
      </c>
      <c r="AD44" t="s">
        <v>43</v>
      </c>
      <c r="AE44" t="s">
        <v>43</v>
      </c>
      <c r="AF44" t="str">
        <f>AA44</f>
        <v>Auenstein Rasen 1 (Sportpark am Tiefenbach), Ochsenweg 1, 74360 Ilsfeld-Auenstein</v>
      </c>
      <c r="AG44" t="str">
        <f>TRIM(MID(AF44, FIND(", ", AF44)+2, FIND(", ", AF44, FIND(", ", AF44)+1) - FIND(", ", AF44) - 2))</f>
        <v>Ochsenweg 1</v>
      </c>
      <c r="AH44" t="str">
        <f>_xlfn.TEXTBEFORE(_xlfn.TEXTAFTER(AF44, ", ", 2), " ")</f>
        <v>74360</v>
      </c>
      <c r="AI44" t="str">
        <f>_xlfn.TEXTAFTER(_xlfn.TEXTAFTER(AF44, ", ", 2), " ")</f>
        <v>Ilsfeld-Auenstein</v>
      </c>
    </row>
    <row r="45" spans="1:35" x14ac:dyDescent="0.2">
      <c r="A45" t="str">
        <f>B45&amp;C45&amp;H45&amp;N45</f>
        <v>35000186SC BöckingenA-Junioren1</v>
      </c>
      <c r="B45" t="s">
        <v>238</v>
      </c>
      <c r="C45" t="s">
        <v>239</v>
      </c>
      <c r="D45" t="s">
        <v>34</v>
      </c>
      <c r="E45" t="s">
        <v>35</v>
      </c>
      <c r="F45" t="s">
        <v>36</v>
      </c>
      <c r="G45">
        <v>3</v>
      </c>
      <c r="H45" t="s">
        <v>37</v>
      </c>
      <c r="I45" t="s">
        <v>114</v>
      </c>
      <c r="J45" t="s">
        <v>213</v>
      </c>
      <c r="K45" t="s">
        <v>240</v>
      </c>
      <c r="L45" s="2" t="s">
        <v>1372</v>
      </c>
      <c r="M45" s="2">
        <v>6</v>
      </c>
      <c r="N45">
        <v>1</v>
      </c>
      <c r="O45" t="s">
        <v>241</v>
      </c>
      <c r="P45" t="s">
        <v>40</v>
      </c>
      <c r="Q45" t="s">
        <v>53</v>
      </c>
      <c r="R45" t="s">
        <v>41</v>
      </c>
      <c r="U45" t="s">
        <v>226</v>
      </c>
      <c r="V45" t="s">
        <v>43</v>
      </c>
      <c r="W45" t="s">
        <v>43</v>
      </c>
      <c r="Y45" t="s">
        <v>242</v>
      </c>
      <c r="Z45" t="s">
        <v>45</v>
      </c>
      <c r="AA45" t="s">
        <v>89</v>
      </c>
      <c r="AB45" t="s">
        <v>43</v>
      </c>
      <c r="AC45" t="s">
        <v>43</v>
      </c>
      <c r="AD45" t="s">
        <v>43</v>
      </c>
      <c r="AE45" t="s">
        <v>43</v>
      </c>
      <c r="AF45" t="str">
        <f>AA45</f>
        <v>Böckingen (SC) Kunstrasen, Viehweide 5, 74080 Heilbronn-Böckingen</v>
      </c>
      <c r="AG45" t="str">
        <f>TRIM(MID(AF45, FIND(", ", AF45)+2, FIND(", ", AF45, FIND(", ", AF45)+1) - FIND(", ", AF45) - 2))</f>
        <v>Viehweide 5</v>
      </c>
      <c r="AH45" t="str">
        <f>_xlfn.TEXTBEFORE(_xlfn.TEXTAFTER(AF45, ", ", 2), " ")</f>
        <v>74080</v>
      </c>
      <c r="AI45" t="str">
        <f>_xlfn.TEXTAFTER(_xlfn.TEXTAFTER(AF45, ", ", 2), " ")</f>
        <v>Heilbronn-Böckingen</v>
      </c>
    </row>
    <row r="46" spans="1:35" x14ac:dyDescent="0.2">
      <c r="A46" t="str">
        <f>B46&amp;C46&amp;H46&amp;N46</f>
        <v>35000201SV BonfeldA-Junioren1</v>
      </c>
      <c r="B46" t="s">
        <v>243</v>
      </c>
      <c r="C46" t="s">
        <v>244</v>
      </c>
      <c r="D46" t="s">
        <v>34</v>
      </c>
      <c r="E46" t="s">
        <v>35</v>
      </c>
      <c r="F46" t="s">
        <v>36</v>
      </c>
      <c r="G46">
        <v>3</v>
      </c>
      <c r="H46" t="s">
        <v>37</v>
      </c>
      <c r="I46" t="s">
        <v>114</v>
      </c>
      <c r="J46" t="s">
        <v>213</v>
      </c>
      <c r="K46" t="s">
        <v>240</v>
      </c>
      <c r="L46" s="2" t="s">
        <v>1372</v>
      </c>
      <c r="M46" s="2">
        <v>3</v>
      </c>
      <c r="N46">
        <v>1</v>
      </c>
      <c r="O46" t="s">
        <v>245</v>
      </c>
      <c r="P46" t="s">
        <v>40</v>
      </c>
      <c r="Q46" t="s">
        <v>40</v>
      </c>
      <c r="R46" t="s">
        <v>41</v>
      </c>
      <c r="U46" t="s">
        <v>226</v>
      </c>
      <c r="V46" t="s">
        <v>43</v>
      </c>
      <c r="W46" t="s">
        <v>43</v>
      </c>
      <c r="Y46" t="s">
        <v>43</v>
      </c>
      <c r="Z46" t="s">
        <v>45</v>
      </c>
      <c r="AA46" t="s">
        <v>246</v>
      </c>
      <c r="AB46" t="s">
        <v>43</v>
      </c>
      <c r="AC46" t="s">
        <v>43</v>
      </c>
      <c r="AD46" t="s">
        <v>43</v>
      </c>
      <c r="AE46" t="s">
        <v>43</v>
      </c>
      <c r="AF46" t="str">
        <f>AA46</f>
        <v>TSV Obergimpern, Am Dreschplatz, 74906 Bad Rappenau-Obergimpern</v>
      </c>
      <c r="AG46" t="str">
        <f>TRIM(MID(AF46, FIND(", ", AF46)+2, FIND(", ", AF46, FIND(", ", AF46)+1) - FIND(", ", AF46) - 2))</f>
        <v>Am Dreschplatz</v>
      </c>
      <c r="AH46" t="str">
        <f>_xlfn.TEXTBEFORE(_xlfn.TEXTAFTER(AF46, ", ", 2), " ")</f>
        <v>74906</v>
      </c>
      <c r="AI46" t="str">
        <f>_xlfn.TEXTAFTER(_xlfn.TEXTAFTER(AF46, ", ", 2), " ")</f>
        <v>Bad Rappenau-Obergimpern</v>
      </c>
    </row>
    <row r="47" spans="1:35" x14ac:dyDescent="0.2">
      <c r="A47" t="str">
        <f>B47&amp;C47&amp;H47&amp;N47</f>
        <v>35000340TSV Ellhofen (Franken)A-Junioren1</v>
      </c>
      <c r="B47" t="s">
        <v>247</v>
      </c>
      <c r="C47" t="s">
        <v>248</v>
      </c>
      <c r="D47" t="s">
        <v>34</v>
      </c>
      <c r="E47" t="s">
        <v>35</v>
      </c>
      <c r="F47" t="s">
        <v>36</v>
      </c>
      <c r="G47">
        <v>3</v>
      </c>
      <c r="H47" t="s">
        <v>37</v>
      </c>
      <c r="I47" t="s">
        <v>114</v>
      </c>
      <c r="J47" t="s">
        <v>213</v>
      </c>
      <c r="K47" t="s">
        <v>240</v>
      </c>
      <c r="L47" s="2" t="s">
        <v>1372</v>
      </c>
      <c r="M47" s="2">
        <v>8</v>
      </c>
      <c r="N47">
        <v>1</v>
      </c>
      <c r="O47" t="s">
        <v>249</v>
      </c>
      <c r="P47" t="s">
        <v>40</v>
      </c>
      <c r="Q47" t="s">
        <v>40</v>
      </c>
      <c r="R47" t="s">
        <v>41</v>
      </c>
      <c r="U47" t="s">
        <v>226</v>
      </c>
      <c r="V47" t="s">
        <v>43</v>
      </c>
      <c r="W47" t="s">
        <v>43</v>
      </c>
      <c r="Y47" t="s">
        <v>250</v>
      </c>
      <c r="Z47" t="s">
        <v>45</v>
      </c>
      <c r="AA47" t="s">
        <v>251</v>
      </c>
      <c r="AB47" t="s">
        <v>43</v>
      </c>
      <c r="AC47" t="s">
        <v>43</v>
      </c>
      <c r="AD47" t="s">
        <v>43</v>
      </c>
      <c r="AE47" t="s">
        <v>43</v>
      </c>
      <c r="AF47" t="str">
        <f>AA47</f>
        <v>Sülzbach Rasen, Talstr. 25, 74182 Obersulm-Sülzbach</v>
      </c>
      <c r="AG47" t="str">
        <f>TRIM(MID(AF47, FIND(", ", AF47)+2, FIND(", ", AF47, FIND(", ", AF47)+1) - FIND(", ", AF47) - 2))</f>
        <v>Talstr. 25</v>
      </c>
      <c r="AH47" t="str">
        <f>_xlfn.TEXTBEFORE(_xlfn.TEXTAFTER(AF47, ", ", 2), " ")</f>
        <v>74182</v>
      </c>
      <c r="AI47" t="str">
        <f>_xlfn.TEXTAFTER(_xlfn.TEXTAFTER(AF47, ", ", 2), " ")</f>
        <v>Obersulm-Sülzbach</v>
      </c>
    </row>
    <row r="48" spans="1:35" x14ac:dyDescent="0.2">
      <c r="A48" t="str">
        <f>B48&amp;C48&amp;H48&amp;N48</f>
        <v>35000910Spfr NeckarwestheimA-Junioren2</v>
      </c>
      <c r="B48" t="s">
        <v>68</v>
      </c>
      <c r="C48" t="s">
        <v>69</v>
      </c>
      <c r="D48" t="s">
        <v>34</v>
      </c>
      <c r="E48" t="s">
        <v>35</v>
      </c>
      <c r="F48" t="s">
        <v>36</v>
      </c>
      <c r="G48">
        <v>3</v>
      </c>
      <c r="H48" t="s">
        <v>37</v>
      </c>
      <c r="I48" t="s">
        <v>114</v>
      </c>
      <c r="J48" t="s">
        <v>213</v>
      </c>
      <c r="K48" t="s">
        <v>240</v>
      </c>
      <c r="L48" s="2" t="s">
        <v>1372</v>
      </c>
      <c r="M48" s="2">
        <v>4</v>
      </c>
      <c r="N48">
        <v>2</v>
      </c>
      <c r="O48" t="s">
        <v>256</v>
      </c>
      <c r="P48" t="s">
        <v>40</v>
      </c>
      <c r="Q48" t="s">
        <v>53</v>
      </c>
      <c r="R48" t="s">
        <v>41</v>
      </c>
      <c r="U48" t="s">
        <v>226</v>
      </c>
      <c r="V48" t="s">
        <v>43</v>
      </c>
      <c r="W48" t="s">
        <v>43</v>
      </c>
      <c r="X48" t="s">
        <v>253</v>
      </c>
      <c r="Y48" s="4" t="s">
        <v>73</v>
      </c>
      <c r="Z48" t="s">
        <v>45</v>
      </c>
      <c r="AA48" t="s">
        <v>74</v>
      </c>
      <c r="AB48" t="s">
        <v>43</v>
      </c>
      <c r="AC48" t="s">
        <v>43</v>
      </c>
      <c r="AD48" t="s">
        <v>43</v>
      </c>
      <c r="AE48" t="s">
        <v>43</v>
      </c>
      <c r="AF48" t="str">
        <f>AA48</f>
        <v>Neckarwestheim Rasen 1, Reblandstr. 31, 74382 Neckarwestheim-Zentrum</v>
      </c>
      <c r="AG48" t="str">
        <f>TRIM(MID(AF48, FIND(", ", AF48)+2, FIND(", ", AF48, FIND(", ", AF48)+1) - FIND(", ", AF48) - 2))</f>
        <v>Reblandstr. 31</v>
      </c>
      <c r="AH48" t="str">
        <f>_xlfn.TEXTBEFORE(_xlfn.TEXTAFTER(AF48, ", ", 2), " ")</f>
        <v>74382</v>
      </c>
      <c r="AI48" t="str">
        <f>_xlfn.TEXTAFTER(_xlfn.TEXTAFTER(AF48, ", ", 2), " ")</f>
        <v>Neckarwestheim-Zentrum</v>
      </c>
    </row>
    <row r="49" spans="1:35" x14ac:dyDescent="0.2">
      <c r="A49" t="str">
        <f>B49&amp;C49&amp;H49&amp;N49</f>
        <v>35000943TSV NiederhofenA-Junioren1</v>
      </c>
      <c r="B49" t="s">
        <v>265</v>
      </c>
      <c r="C49" t="s">
        <v>266</v>
      </c>
      <c r="D49" t="s">
        <v>34</v>
      </c>
      <c r="E49" t="s">
        <v>35</v>
      </c>
      <c r="F49" t="s">
        <v>36</v>
      </c>
      <c r="G49">
        <v>3</v>
      </c>
      <c r="H49" t="s">
        <v>37</v>
      </c>
      <c r="I49" t="s">
        <v>114</v>
      </c>
      <c r="J49" t="s">
        <v>213</v>
      </c>
      <c r="K49" t="s">
        <v>240</v>
      </c>
      <c r="L49" s="2" t="s">
        <v>1372</v>
      </c>
      <c r="M49" s="2">
        <v>2</v>
      </c>
      <c r="N49">
        <v>1</v>
      </c>
      <c r="O49" t="s">
        <v>267</v>
      </c>
      <c r="P49" t="s">
        <v>40</v>
      </c>
      <c r="Q49" t="s">
        <v>40</v>
      </c>
      <c r="R49" t="s">
        <v>41</v>
      </c>
      <c r="U49" t="s">
        <v>226</v>
      </c>
      <c r="V49" t="s">
        <v>43</v>
      </c>
      <c r="W49" t="s">
        <v>43</v>
      </c>
      <c r="X49" t="s">
        <v>268</v>
      </c>
      <c r="Y49" s="4" t="s">
        <v>269</v>
      </c>
      <c r="Z49" t="s">
        <v>45</v>
      </c>
      <c r="AA49" t="s">
        <v>270</v>
      </c>
      <c r="AB49" t="s">
        <v>43</v>
      </c>
      <c r="AC49" t="s">
        <v>43</v>
      </c>
      <c r="AD49" t="s">
        <v>43</v>
      </c>
      <c r="AE49" t="s">
        <v>43</v>
      </c>
      <c r="AF49" t="str">
        <f>AA49</f>
        <v>Niederhofen Rasen, Lindenstr., 74193 Schwaigern-Niederhofen</v>
      </c>
      <c r="AG49" t="str">
        <f>TRIM(MID(AF49, FIND(", ", AF49)+2, FIND(", ", AF49, FIND(", ", AF49)+1) - FIND(", ", AF49) - 2))</f>
        <v>Lindenstr.</v>
      </c>
      <c r="AH49" t="str">
        <f>_xlfn.TEXTBEFORE(_xlfn.TEXTAFTER(AF49, ", ", 2), " ")</f>
        <v>74193</v>
      </c>
      <c r="AI49" t="str">
        <f>_xlfn.TEXTAFTER(_xlfn.TEXTAFTER(AF49, ", ", 2), " ")</f>
        <v>Schwaigern-Niederhofen</v>
      </c>
    </row>
    <row r="50" spans="1:35" x14ac:dyDescent="0.2">
      <c r="A50" t="str">
        <f>B50&amp;C50&amp;H50&amp;N50</f>
        <v>35002135SC Oberes ZabergäuA-Junioren1</v>
      </c>
      <c r="B50" t="s">
        <v>257</v>
      </c>
      <c r="C50" t="s">
        <v>258</v>
      </c>
      <c r="D50" t="s">
        <v>34</v>
      </c>
      <c r="E50" t="s">
        <v>35</v>
      </c>
      <c r="F50" t="s">
        <v>36</v>
      </c>
      <c r="G50">
        <v>3</v>
      </c>
      <c r="H50" t="s">
        <v>37</v>
      </c>
      <c r="I50" t="s">
        <v>114</v>
      </c>
      <c r="J50" t="s">
        <v>213</v>
      </c>
      <c r="K50" t="s">
        <v>240</v>
      </c>
      <c r="L50" s="2" t="s">
        <v>1372</v>
      </c>
      <c r="M50" s="2">
        <v>7</v>
      </c>
      <c r="N50">
        <v>1</v>
      </c>
      <c r="O50" t="s">
        <v>259</v>
      </c>
      <c r="P50" t="s">
        <v>40</v>
      </c>
      <c r="Q50" t="s">
        <v>40</v>
      </c>
      <c r="R50" t="s">
        <v>41</v>
      </c>
      <c r="U50" t="s">
        <v>226</v>
      </c>
      <c r="V50" t="s">
        <v>43</v>
      </c>
      <c r="W50" t="s">
        <v>43</v>
      </c>
      <c r="Y50" t="s">
        <v>260</v>
      </c>
      <c r="Z50" t="s">
        <v>45</v>
      </c>
      <c r="AA50" t="s">
        <v>261</v>
      </c>
      <c r="AB50" t="s">
        <v>262</v>
      </c>
      <c r="AC50" t="s">
        <v>263</v>
      </c>
      <c r="AD50" t="s">
        <v>95</v>
      </c>
      <c r="AE50" t="s">
        <v>264</v>
      </c>
      <c r="AF50" t="s">
        <v>264</v>
      </c>
      <c r="AG50" t="str">
        <f>TRIM(MID(AF50, FIND(", ", AF50)+2, FIND(", ", AF50, FIND(", ", AF50)+1) - FIND(", ", AF50) - 2))</f>
        <v>Steinbruchweg 9</v>
      </c>
      <c r="AH50" t="str">
        <f>_xlfn.TEXTBEFORE(_xlfn.TEXTAFTER(AF50, ", ", 2), " ")</f>
        <v>75031</v>
      </c>
      <c r="AI50" t="str">
        <f>_xlfn.TEXTAFTER(_xlfn.TEXTAFTER(AF50, ", ", 2), " ")</f>
        <v>Eppingen-Mühlbach</v>
      </c>
    </row>
    <row r="51" spans="1:35" x14ac:dyDescent="0.2">
      <c r="A51" t="str">
        <f>B51&amp;C51&amp;H51&amp;N51</f>
        <v>35000620TSV HöchstbergA-Junioren2</v>
      </c>
      <c r="B51" t="s">
        <v>131</v>
      </c>
      <c r="C51" t="s">
        <v>132</v>
      </c>
      <c r="D51" t="s">
        <v>77</v>
      </c>
      <c r="E51" t="s">
        <v>35</v>
      </c>
      <c r="F51" t="s">
        <v>36</v>
      </c>
      <c r="G51">
        <v>3</v>
      </c>
      <c r="H51" t="s">
        <v>37</v>
      </c>
      <c r="I51" t="s">
        <v>114</v>
      </c>
      <c r="J51" t="s">
        <v>213</v>
      </c>
      <c r="K51" t="s">
        <v>240</v>
      </c>
      <c r="L51" s="2" t="s">
        <v>1372</v>
      </c>
      <c r="M51" s="2">
        <v>5</v>
      </c>
      <c r="N51">
        <v>2</v>
      </c>
      <c r="O51" t="s">
        <v>252</v>
      </c>
      <c r="P51" t="s">
        <v>40</v>
      </c>
      <c r="Q51" t="s">
        <v>53</v>
      </c>
      <c r="R51" t="s">
        <v>41</v>
      </c>
      <c r="U51" t="s">
        <v>226</v>
      </c>
      <c r="V51" t="s">
        <v>43</v>
      </c>
      <c r="W51" t="s">
        <v>43</v>
      </c>
      <c r="X51" t="s">
        <v>253</v>
      </c>
      <c r="Y51" s="4" t="s">
        <v>254</v>
      </c>
      <c r="Z51" t="s">
        <v>45</v>
      </c>
      <c r="AA51" t="s">
        <v>255</v>
      </c>
      <c r="AB51" t="s">
        <v>43</v>
      </c>
      <c r="AC51" t="s">
        <v>43</v>
      </c>
      <c r="AD51" t="s">
        <v>43</v>
      </c>
      <c r="AE51" t="s">
        <v>43</v>
      </c>
      <c r="AF51" t="str">
        <f>AA51</f>
        <v>Herbolzheim Rasen, Untergriesheimer Str. 15, 74861 Neudenau-Herbolzheim</v>
      </c>
      <c r="AG51" t="str">
        <f>TRIM(MID(AF51, FIND(", ", AF51)+2, FIND(", ", AF51, FIND(", ", AF51)+1) - FIND(", ", AF51) - 2))</f>
        <v>Untergriesheimer Str. 15</v>
      </c>
      <c r="AH51" t="str">
        <f>_xlfn.TEXTBEFORE(_xlfn.TEXTAFTER(AF51, ", ", 2), " ")</f>
        <v>74861</v>
      </c>
      <c r="AI51" t="str">
        <f>_xlfn.TEXTAFTER(_xlfn.TEXTAFTER(AF51, ", ", 2), " ")</f>
        <v>Neudenau-Herbolzheim</v>
      </c>
    </row>
    <row r="52" spans="1:35" x14ac:dyDescent="0.2">
      <c r="A52" t="str">
        <f>B52&amp;C52&amp;H52&amp;N52</f>
        <v>35000932VfB NeuhüttenA-Junioren1</v>
      </c>
      <c r="B52" t="s">
        <v>302</v>
      </c>
      <c r="C52" t="s">
        <v>303</v>
      </c>
      <c r="D52" t="s">
        <v>66</v>
      </c>
      <c r="E52" t="s">
        <v>35</v>
      </c>
      <c r="F52" t="s">
        <v>50</v>
      </c>
      <c r="G52">
        <v>3</v>
      </c>
      <c r="H52" t="s">
        <v>37</v>
      </c>
      <c r="I52" t="s">
        <v>114</v>
      </c>
      <c r="J52" t="s">
        <v>213</v>
      </c>
      <c r="K52" t="s">
        <v>278</v>
      </c>
      <c r="L52" s="2" t="s">
        <v>1373</v>
      </c>
      <c r="M52" s="2">
        <v>4</v>
      </c>
      <c r="N52">
        <v>1</v>
      </c>
      <c r="O52" t="s">
        <v>304</v>
      </c>
      <c r="P52" t="s">
        <v>40</v>
      </c>
      <c r="Q52" t="s">
        <v>40</v>
      </c>
      <c r="R52" t="s">
        <v>41</v>
      </c>
      <c r="U52" t="s">
        <v>118</v>
      </c>
      <c r="V52" t="s">
        <v>43</v>
      </c>
      <c r="W52" t="s">
        <v>43</v>
      </c>
      <c r="Y52" t="s">
        <v>43</v>
      </c>
      <c r="Z52" t="s">
        <v>45</v>
      </c>
      <c r="AA52" t="s">
        <v>305</v>
      </c>
      <c r="AB52" t="s">
        <v>43</v>
      </c>
      <c r="AC52" t="s">
        <v>43</v>
      </c>
      <c r="AD52" t="s">
        <v>43</v>
      </c>
      <c r="AE52" t="s">
        <v>43</v>
      </c>
      <c r="AF52" t="str">
        <f>AA52</f>
        <v>Wüstenrot Waldsportplatz Kunstrasen, Sportgaststätte FV Wüstenrot, 71543 Wüstenrot</v>
      </c>
      <c r="AG52" t="str">
        <f>TRIM(MID(AF52, FIND(", ", AF52)+2, FIND(", ", AF52, FIND(", ", AF52)+1) - FIND(", ", AF52) - 2))</f>
        <v>Sportgaststätte FV Wüstenrot</v>
      </c>
      <c r="AH52" t="str">
        <f>_xlfn.TEXTBEFORE(_xlfn.TEXTAFTER(AF52, ", ", 2), " ")</f>
        <v>71543</v>
      </c>
      <c r="AI52" t="str">
        <f>_xlfn.TEXTAFTER(_xlfn.TEXTAFTER(AF52, ", ", 2), " ")</f>
        <v>Wüstenrot</v>
      </c>
    </row>
    <row r="53" spans="1:35" x14ac:dyDescent="0.2">
      <c r="A53" t="str">
        <f>B53&amp;C53&amp;H53&amp;N53</f>
        <v>35001233TSV SchwabbachA-Junioren1</v>
      </c>
      <c r="B53" t="s">
        <v>295</v>
      </c>
      <c r="C53" t="s">
        <v>296</v>
      </c>
      <c r="D53" t="s">
        <v>66</v>
      </c>
      <c r="E53" t="s">
        <v>35</v>
      </c>
      <c r="F53" t="s">
        <v>50</v>
      </c>
      <c r="G53">
        <v>3</v>
      </c>
      <c r="H53" t="s">
        <v>37</v>
      </c>
      <c r="I53" t="s">
        <v>114</v>
      </c>
      <c r="J53" t="s">
        <v>213</v>
      </c>
      <c r="K53" t="s">
        <v>278</v>
      </c>
      <c r="L53" s="2" t="s">
        <v>1373</v>
      </c>
      <c r="M53" s="2">
        <v>6</v>
      </c>
      <c r="N53">
        <v>1</v>
      </c>
      <c r="O53" t="s">
        <v>297</v>
      </c>
      <c r="P53" t="s">
        <v>40</v>
      </c>
      <c r="Q53" t="s">
        <v>53</v>
      </c>
      <c r="R53" t="s">
        <v>41</v>
      </c>
      <c r="U53" t="s">
        <v>118</v>
      </c>
      <c r="V53" t="s">
        <v>43</v>
      </c>
      <c r="W53" t="s">
        <v>43</v>
      </c>
      <c r="Y53" t="s">
        <v>298</v>
      </c>
      <c r="Z53" t="s">
        <v>45</v>
      </c>
      <c r="AA53" t="s">
        <v>299</v>
      </c>
      <c r="AB53" t="s">
        <v>300</v>
      </c>
      <c r="AC53" t="s">
        <v>301</v>
      </c>
      <c r="AD53" t="s">
        <v>43</v>
      </c>
      <c r="AE53" t="s">
        <v>43</v>
      </c>
      <c r="AF53" t="str">
        <f>AC53</f>
        <v>Sportplatz 1, TSV Schwabbach, Hammelwiesen 1, 74626 Bretzfeld-Schwabbach</v>
      </c>
      <c r="AG53" t="str">
        <f>_xlfn.TEXTBEFORE(_xlfn.TEXTAFTER(AF53, ", ", 2), ",")</f>
        <v>Hammelwiesen 1</v>
      </c>
      <c r="AH53" t="str">
        <f>_xlfn.TEXTBEFORE(_xlfn.TEXTAFTER(AF53, ", ", 3), " ")</f>
        <v>74626</v>
      </c>
      <c r="AI53" t="str">
        <f>_xlfn.TEXTAFTER(_xlfn.TEXTAFTER(AF53, ", ", 3), " ")</f>
        <v>Bretzfeld-Schwabbach</v>
      </c>
    </row>
    <row r="54" spans="1:35" x14ac:dyDescent="0.2">
      <c r="A54" t="str">
        <f>B54&amp;C54&amp;H54&amp;N54</f>
        <v>35000224Spfr DJK BühlerzellA-Junioren1</v>
      </c>
      <c r="B54" t="s">
        <v>276</v>
      </c>
      <c r="C54" t="s">
        <v>277</v>
      </c>
      <c r="D54" t="s">
        <v>58</v>
      </c>
      <c r="E54" t="s">
        <v>35</v>
      </c>
      <c r="F54" t="s">
        <v>50</v>
      </c>
      <c r="G54">
        <v>12</v>
      </c>
      <c r="H54" t="s">
        <v>37</v>
      </c>
      <c r="I54" t="s">
        <v>114</v>
      </c>
      <c r="J54" t="s">
        <v>213</v>
      </c>
      <c r="K54" t="s">
        <v>278</v>
      </c>
      <c r="L54" s="2" t="s">
        <v>1373</v>
      </c>
      <c r="M54" s="2">
        <v>3</v>
      </c>
      <c r="N54">
        <v>1</v>
      </c>
      <c r="O54" t="s">
        <v>279</v>
      </c>
      <c r="P54" t="s">
        <v>40</v>
      </c>
      <c r="Q54" t="s">
        <v>53</v>
      </c>
      <c r="R54" t="s">
        <v>41</v>
      </c>
      <c r="U54" t="s">
        <v>118</v>
      </c>
      <c r="V54" t="s">
        <v>43</v>
      </c>
      <c r="W54" t="s">
        <v>43</v>
      </c>
      <c r="Y54" t="s">
        <v>280</v>
      </c>
      <c r="Z54" t="s">
        <v>45</v>
      </c>
      <c r="AA54" t="s">
        <v>281</v>
      </c>
      <c r="AB54" t="s">
        <v>43</v>
      </c>
      <c r="AC54" t="s">
        <v>43</v>
      </c>
      <c r="AD54" t="s">
        <v>43</v>
      </c>
      <c r="AE54" t="s">
        <v>43</v>
      </c>
      <c r="AF54" t="str">
        <f>AA54</f>
        <v>Sportplatz 1 Bühlerzell, Am Schäufelfeld 20, 74426 Bühlerzell</v>
      </c>
      <c r="AG54" t="str">
        <f>TRIM(MID(AF54, FIND(", ", AF54)+2, FIND(", ", AF54, FIND(", ", AF54)+1) - FIND(", ", AF54) - 2))</f>
        <v>Am Schäufelfeld 20</v>
      </c>
      <c r="AH54" t="str">
        <f>_xlfn.TEXTBEFORE(_xlfn.TEXTAFTER(AF54, ", ", 2), " ")</f>
        <v>74426</v>
      </c>
      <c r="AI54" t="str">
        <f>_xlfn.TEXTAFTER(_xlfn.TEXTAFTER(AF54, ", ", 2), " ")</f>
        <v>Bühlerzell</v>
      </c>
    </row>
    <row r="55" spans="1:35" x14ac:dyDescent="0.2">
      <c r="A55" t="str">
        <f>B55&amp;C55&amp;H55&amp;N55</f>
        <v>35000392TSV EutendorfA-Junioren1</v>
      </c>
      <c r="B55" t="s">
        <v>282</v>
      </c>
      <c r="C55" t="s">
        <v>283</v>
      </c>
      <c r="D55" t="s">
        <v>58</v>
      </c>
      <c r="E55" t="s">
        <v>35</v>
      </c>
      <c r="F55" t="s">
        <v>50</v>
      </c>
      <c r="G55">
        <v>12</v>
      </c>
      <c r="H55" t="s">
        <v>37</v>
      </c>
      <c r="I55" t="s">
        <v>114</v>
      </c>
      <c r="J55" t="s">
        <v>213</v>
      </c>
      <c r="K55" t="s">
        <v>278</v>
      </c>
      <c r="L55" s="2" t="s">
        <v>1373</v>
      </c>
      <c r="M55" s="2">
        <v>2</v>
      </c>
      <c r="N55">
        <v>1</v>
      </c>
      <c r="O55" t="s">
        <v>284</v>
      </c>
      <c r="P55" t="s">
        <v>40</v>
      </c>
      <c r="Q55" t="s">
        <v>40</v>
      </c>
      <c r="R55" t="s">
        <v>41</v>
      </c>
      <c r="U55" t="s">
        <v>118</v>
      </c>
      <c r="V55" t="s">
        <v>43</v>
      </c>
      <c r="W55" t="s">
        <v>43</v>
      </c>
      <c r="Y55" t="s">
        <v>43</v>
      </c>
      <c r="Z55" t="s">
        <v>45</v>
      </c>
      <c r="AA55" t="s">
        <v>285</v>
      </c>
      <c r="AB55" t="s">
        <v>43</v>
      </c>
      <c r="AC55" t="s">
        <v>43</v>
      </c>
      <c r="AD55" t="s">
        <v>43</v>
      </c>
      <c r="AE55" t="s">
        <v>43</v>
      </c>
      <c r="AF55" t="str">
        <f>AA55</f>
        <v>Sportplatz 1, TSV Eutendorf, Altdorfer Str. 55, 74405 Gaildorf-Eutendorf</v>
      </c>
      <c r="AG55" t="str">
        <f>_xlfn.TEXTBEFORE(_xlfn.TEXTAFTER(AF55, ", ", 2), ",")</f>
        <v>Altdorfer Str. 55</v>
      </c>
      <c r="AH55" t="str">
        <f>_xlfn.TEXTBEFORE(_xlfn.TEXTAFTER(AF55, ", ", 3), " ")</f>
        <v>74405</v>
      </c>
      <c r="AI55" t="str">
        <f>_xlfn.TEXTAFTER(_xlfn.TEXTAFTER(AF55, ", ", 3), " ")</f>
        <v>Gaildorf-Eutendorf</v>
      </c>
    </row>
    <row r="56" spans="1:35" x14ac:dyDescent="0.2">
      <c r="A56" t="str">
        <f>B56&amp;C56&amp;H56&amp;N56</f>
        <v>35000441TSV GaildorfA-Junioren1</v>
      </c>
      <c r="B56" t="s">
        <v>306</v>
      </c>
      <c r="C56" t="s">
        <v>307</v>
      </c>
      <c r="D56" t="s">
        <v>58</v>
      </c>
      <c r="E56" t="s">
        <v>35</v>
      </c>
      <c r="F56" t="s">
        <v>50</v>
      </c>
      <c r="G56">
        <v>12</v>
      </c>
      <c r="H56" t="s">
        <v>37</v>
      </c>
      <c r="I56" t="s">
        <v>114</v>
      </c>
      <c r="J56" t="s">
        <v>213</v>
      </c>
      <c r="K56" t="s">
        <v>278</v>
      </c>
      <c r="L56" s="2" t="s">
        <v>1373</v>
      </c>
      <c r="M56" s="2">
        <v>5</v>
      </c>
      <c r="N56">
        <v>1</v>
      </c>
      <c r="O56" t="s">
        <v>308</v>
      </c>
      <c r="P56" t="s">
        <v>40</v>
      </c>
      <c r="Q56" t="s">
        <v>40</v>
      </c>
      <c r="R56" t="s">
        <v>41</v>
      </c>
      <c r="U56" t="s">
        <v>226</v>
      </c>
      <c r="V56" t="s">
        <v>43</v>
      </c>
      <c r="W56" t="s">
        <v>43</v>
      </c>
      <c r="Y56" t="s">
        <v>309</v>
      </c>
      <c r="Z56" t="s">
        <v>45</v>
      </c>
      <c r="AA56" t="s">
        <v>310</v>
      </c>
      <c r="AB56" t="s">
        <v>43</v>
      </c>
      <c r="AC56" t="s">
        <v>43</v>
      </c>
      <c r="AD56" t="s">
        <v>43</v>
      </c>
      <c r="AE56" t="s">
        <v>43</v>
      </c>
      <c r="AF56" t="str">
        <f>AA56</f>
        <v>Kunstrasenplatz Bleichwiese, Schloßstr. 11/1, 74405 Gaildorf</v>
      </c>
      <c r="AG56" t="str">
        <f>TRIM(MID(AF56, FIND(", ", AF56)+2, FIND(", ", AF56, FIND(", ", AF56)+1) - FIND(", ", AF56) - 2))</f>
        <v>Schloßstr. 11/1</v>
      </c>
      <c r="AH56" t="str">
        <f>_xlfn.TEXTBEFORE(_xlfn.TEXTAFTER(AF56, ", ", 2), " ")</f>
        <v>74405</v>
      </c>
      <c r="AI56" t="str">
        <f>_xlfn.TEXTAFTER(_xlfn.TEXTAFTER(AF56, ", ", 2), " ")</f>
        <v>Gaildorf</v>
      </c>
    </row>
    <row r="57" spans="1:35" x14ac:dyDescent="0.2">
      <c r="A57" t="str">
        <f>B57&amp;C57&amp;H57&amp;N57</f>
        <v>35000042VfR AltenmünsterA-Junioren1</v>
      </c>
      <c r="B57" t="s">
        <v>320</v>
      </c>
      <c r="C57" t="s">
        <v>321</v>
      </c>
      <c r="D57" t="s">
        <v>103</v>
      </c>
      <c r="E57" t="s">
        <v>35</v>
      </c>
      <c r="F57" t="s">
        <v>50</v>
      </c>
      <c r="G57">
        <v>12</v>
      </c>
      <c r="H57" t="s">
        <v>37</v>
      </c>
      <c r="I57" t="s">
        <v>114</v>
      </c>
      <c r="J57" t="s">
        <v>213</v>
      </c>
      <c r="K57" t="s">
        <v>313</v>
      </c>
      <c r="L57" s="2" t="s">
        <v>1374</v>
      </c>
      <c r="M57" s="2">
        <v>6</v>
      </c>
      <c r="N57">
        <v>1</v>
      </c>
      <c r="O57" t="s">
        <v>322</v>
      </c>
      <c r="P57" t="s">
        <v>40</v>
      </c>
      <c r="Q57" t="s">
        <v>40</v>
      </c>
      <c r="R57" t="s">
        <v>41</v>
      </c>
      <c r="U57" t="s">
        <v>118</v>
      </c>
      <c r="V57" t="s">
        <v>43</v>
      </c>
      <c r="W57" t="s">
        <v>43</v>
      </c>
      <c r="X57" t="s">
        <v>62</v>
      </c>
      <c r="Y57" s="4" t="s">
        <v>323</v>
      </c>
      <c r="Z57" t="s">
        <v>45</v>
      </c>
      <c r="AA57" t="s">
        <v>324</v>
      </c>
      <c r="AB57" t="s">
        <v>43</v>
      </c>
      <c r="AC57" t="s">
        <v>43</v>
      </c>
      <c r="AD57" t="s">
        <v>43</v>
      </c>
      <c r="AE57" t="s">
        <v>43</v>
      </c>
      <c r="AF57" t="str">
        <f>AA57</f>
        <v>Sportplatz 1 VfR Altenmünster, Kirchstr., 74564 Crailsheim</v>
      </c>
      <c r="AG57" t="str">
        <f>TRIM(MID(AF57, FIND(", ", AF57)+2, FIND(", ", AF57, FIND(", ", AF57)+1) - FIND(", ", AF57) - 2))</f>
        <v>Kirchstr.</v>
      </c>
      <c r="AH57" t="str">
        <f>_xlfn.TEXTBEFORE(_xlfn.TEXTAFTER(AF57, ", ", 2), " ")</f>
        <v>74564</v>
      </c>
      <c r="AI57" t="str">
        <f>_xlfn.TEXTAFTER(_xlfn.TEXTAFTER(AF57, ", ", 2), " ")</f>
        <v>Crailsheim</v>
      </c>
    </row>
    <row r="58" spans="1:35" x14ac:dyDescent="0.2">
      <c r="A58" t="str">
        <f>B58&amp;C58&amp;H58&amp;N58</f>
        <v>35001231TSV SchrozbergA-Junioren1</v>
      </c>
      <c r="B58" t="s">
        <v>316</v>
      </c>
      <c r="C58" t="s">
        <v>317</v>
      </c>
      <c r="D58" t="s">
        <v>103</v>
      </c>
      <c r="E58" t="s">
        <v>35</v>
      </c>
      <c r="F58" t="s">
        <v>50</v>
      </c>
      <c r="G58">
        <v>12</v>
      </c>
      <c r="H58" t="s">
        <v>37</v>
      </c>
      <c r="I58" t="s">
        <v>114</v>
      </c>
      <c r="J58" t="s">
        <v>213</v>
      </c>
      <c r="K58" t="s">
        <v>313</v>
      </c>
      <c r="L58" s="2" t="s">
        <v>1374</v>
      </c>
      <c r="M58" s="2">
        <v>5</v>
      </c>
      <c r="N58">
        <v>1</v>
      </c>
      <c r="O58" t="s">
        <v>318</v>
      </c>
      <c r="P58" t="s">
        <v>40</v>
      </c>
      <c r="Q58" t="s">
        <v>40</v>
      </c>
      <c r="R58" t="s">
        <v>41</v>
      </c>
      <c r="U58" t="s">
        <v>118</v>
      </c>
      <c r="V58" t="s">
        <v>43</v>
      </c>
      <c r="W58" t="s">
        <v>43</v>
      </c>
      <c r="Y58" t="s">
        <v>43</v>
      </c>
      <c r="Z58" t="s">
        <v>45</v>
      </c>
      <c r="AA58" t="s">
        <v>319</v>
      </c>
      <c r="AB58" t="s">
        <v>43</v>
      </c>
      <c r="AC58" t="s">
        <v>43</v>
      </c>
      <c r="AD58" t="s">
        <v>43</v>
      </c>
      <c r="AE58" t="s">
        <v>43</v>
      </c>
      <c r="AF58" t="str">
        <f>AA58</f>
        <v>Kunstrasenplatz TSV Schrozberg, Stadionweg 9, 74575 Schrozberg</v>
      </c>
      <c r="AG58" t="str">
        <f>TRIM(MID(AF58, FIND(", ", AF58)+2, FIND(", ", AF58, FIND(", ", AF58)+1) - FIND(", ", AF58) - 2))</f>
        <v>Stadionweg 9</v>
      </c>
      <c r="AH58" t="str">
        <f>_xlfn.TEXTBEFORE(_xlfn.TEXTAFTER(AF58, ", ", 2), " ")</f>
        <v>74575</v>
      </c>
      <c r="AI58" t="str">
        <f>_xlfn.TEXTAFTER(_xlfn.TEXTAFTER(AF58, ", ", 2), " ")</f>
        <v>Schrozberg</v>
      </c>
    </row>
    <row r="59" spans="1:35" x14ac:dyDescent="0.2">
      <c r="A59" t="str">
        <f>B59&amp;C59&amp;H59&amp;N59</f>
        <v>35000239FC CreglingenA-Junioren1</v>
      </c>
      <c r="B59" t="s">
        <v>311</v>
      </c>
      <c r="C59" t="s">
        <v>312</v>
      </c>
      <c r="D59" t="s">
        <v>204</v>
      </c>
      <c r="E59" t="s">
        <v>35</v>
      </c>
      <c r="F59" t="s">
        <v>50</v>
      </c>
      <c r="G59">
        <v>3</v>
      </c>
      <c r="H59" t="s">
        <v>37</v>
      </c>
      <c r="I59" t="s">
        <v>114</v>
      </c>
      <c r="J59" t="s">
        <v>213</v>
      </c>
      <c r="K59" t="s">
        <v>313</v>
      </c>
      <c r="L59" s="2" t="s">
        <v>1374</v>
      </c>
      <c r="M59" s="2">
        <v>2</v>
      </c>
      <c r="N59">
        <v>1</v>
      </c>
      <c r="O59" t="s">
        <v>314</v>
      </c>
      <c r="P59" t="s">
        <v>40</v>
      </c>
      <c r="Q59" t="s">
        <v>40</v>
      </c>
      <c r="R59" t="s">
        <v>41</v>
      </c>
      <c r="U59" t="s">
        <v>118</v>
      </c>
      <c r="V59" t="s">
        <v>43</v>
      </c>
      <c r="W59" t="s">
        <v>43</v>
      </c>
      <c r="Y59" t="s">
        <v>43</v>
      </c>
      <c r="Z59" t="s">
        <v>45</v>
      </c>
      <c r="AA59" t="s">
        <v>315</v>
      </c>
      <c r="AB59" t="s">
        <v>43</v>
      </c>
      <c r="AC59" t="s">
        <v>43</v>
      </c>
      <c r="AD59" t="s">
        <v>43</v>
      </c>
      <c r="AE59" t="s">
        <v>43</v>
      </c>
      <c r="AF59" t="str">
        <f>AA59</f>
        <v>Sportplatz 1 FC Creglingen, Rothenburger Str., 97993 Creglingen-Zentrum</v>
      </c>
      <c r="AG59" t="str">
        <f>TRIM(MID(AF59, FIND(", ", AF59)+2, FIND(", ", AF59, FIND(", ", AF59)+1) - FIND(", ", AF59) - 2))</f>
        <v>Rothenburger Str.</v>
      </c>
      <c r="AH59" t="str">
        <f>_xlfn.TEXTBEFORE(_xlfn.TEXTAFTER(AF59, ", ", 2), " ")</f>
        <v>97993</v>
      </c>
      <c r="AI59" t="str">
        <f>_xlfn.TEXTAFTER(_xlfn.TEXTAFTER(AF59, ", ", 2), " ")</f>
        <v>Creglingen-Zentrum</v>
      </c>
    </row>
    <row r="60" spans="1:35" x14ac:dyDescent="0.2">
      <c r="A60" t="str">
        <f>B60&amp;C60&amp;H60&amp;N60</f>
        <v>35000946TV NiederstettenA-Junioren1</v>
      </c>
      <c r="B60" t="s">
        <v>329</v>
      </c>
      <c r="C60" t="s">
        <v>330</v>
      </c>
      <c r="D60" t="s">
        <v>204</v>
      </c>
      <c r="E60" t="s">
        <v>35</v>
      </c>
      <c r="F60" t="s">
        <v>50</v>
      </c>
      <c r="G60">
        <v>3</v>
      </c>
      <c r="H60" t="s">
        <v>37</v>
      </c>
      <c r="I60" t="s">
        <v>114</v>
      </c>
      <c r="J60" t="s">
        <v>213</v>
      </c>
      <c r="K60" t="s">
        <v>313</v>
      </c>
      <c r="L60" s="2" t="s">
        <v>1374</v>
      </c>
      <c r="M60" s="2">
        <v>3</v>
      </c>
      <c r="N60">
        <v>1</v>
      </c>
      <c r="O60" t="s">
        <v>331</v>
      </c>
      <c r="P60" t="s">
        <v>40</v>
      </c>
      <c r="Q60" t="s">
        <v>40</v>
      </c>
      <c r="R60" t="s">
        <v>41</v>
      </c>
      <c r="U60" t="s">
        <v>226</v>
      </c>
      <c r="V60" t="s">
        <v>43</v>
      </c>
      <c r="W60" t="s">
        <v>43</v>
      </c>
      <c r="Y60" t="s">
        <v>332</v>
      </c>
      <c r="Z60" t="s">
        <v>45</v>
      </c>
      <c r="AA60" t="s">
        <v>333</v>
      </c>
      <c r="AB60" t="s">
        <v>43</v>
      </c>
      <c r="AC60" t="s">
        <v>43</v>
      </c>
      <c r="AD60" t="s">
        <v>43</v>
      </c>
      <c r="AE60" t="s">
        <v>43</v>
      </c>
      <c r="AF60" t="str">
        <f>AA60</f>
        <v>Burgwiesenstadion, Kanalweg, 97996 Niederstetten-Zentrum</v>
      </c>
      <c r="AG60" t="str">
        <f>TRIM(MID(AF60, FIND(", ", AF60)+2, FIND(", ", AF60, FIND(", ", AF60)+1) - FIND(", ", AF60) - 2))</f>
        <v>Kanalweg</v>
      </c>
      <c r="AH60" t="str">
        <f>_xlfn.TEXTBEFORE(_xlfn.TEXTAFTER(AF60, ", ", 2), " ")</f>
        <v>97996</v>
      </c>
      <c r="AI60" t="str">
        <f>_xlfn.TEXTAFTER(_xlfn.TEXTAFTER(AF60, ", ", 2), " ")</f>
        <v>Niederstetten-Zentrum</v>
      </c>
    </row>
    <row r="61" spans="1:35" x14ac:dyDescent="0.2">
      <c r="A61" t="str">
        <f>B61&amp;C61&amp;H61&amp;N61</f>
        <v>35001478TSV WeikersheimA-Junioren1</v>
      </c>
      <c r="B61" t="s">
        <v>325</v>
      </c>
      <c r="C61" t="s">
        <v>326</v>
      </c>
      <c r="D61" t="s">
        <v>204</v>
      </c>
      <c r="E61" t="s">
        <v>35</v>
      </c>
      <c r="F61" t="s">
        <v>50</v>
      </c>
      <c r="G61">
        <v>3</v>
      </c>
      <c r="H61" t="s">
        <v>37</v>
      </c>
      <c r="I61" t="s">
        <v>114</v>
      </c>
      <c r="J61" t="s">
        <v>213</v>
      </c>
      <c r="K61" t="s">
        <v>313</v>
      </c>
      <c r="L61" s="2" t="s">
        <v>1374</v>
      </c>
      <c r="M61" s="2">
        <v>4</v>
      </c>
      <c r="N61">
        <v>1</v>
      </c>
      <c r="O61" t="s">
        <v>327</v>
      </c>
      <c r="P61" t="s">
        <v>40</v>
      </c>
      <c r="Q61" t="s">
        <v>40</v>
      </c>
      <c r="R61" t="s">
        <v>41</v>
      </c>
      <c r="U61" t="s">
        <v>118</v>
      </c>
      <c r="V61" t="s">
        <v>43</v>
      </c>
      <c r="W61" t="s">
        <v>43</v>
      </c>
      <c r="Y61" t="s">
        <v>43</v>
      </c>
      <c r="Z61" t="s">
        <v>45</v>
      </c>
      <c r="AA61" t="s">
        <v>328</v>
      </c>
      <c r="AB61" t="s">
        <v>43</v>
      </c>
      <c r="AC61" t="s">
        <v>43</v>
      </c>
      <c r="AD61" t="s">
        <v>43</v>
      </c>
      <c r="AE61" t="s">
        <v>43</v>
      </c>
      <c r="AF61" t="str">
        <f>AA61</f>
        <v>Sportplatz 1 TSV Weikersheim, August-Laukhuff-Str., 97990 Weikersheim-Zentrum</v>
      </c>
      <c r="AG61" t="str">
        <f>TRIM(MID(AF61, FIND(", ", AF61)+2, FIND(", ", AF61, FIND(", ", AF61)+1) - FIND(", ", AF61) - 2))</f>
        <v>August-Laukhuff-Str.</v>
      </c>
      <c r="AH61" t="str">
        <f>_xlfn.TEXTBEFORE(_xlfn.TEXTAFTER(AF61, ", ", 2), " ")</f>
        <v>97990</v>
      </c>
      <c r="AI61" t="str">
        <f>_xlfn.TEXTAFTER(_xlfn.TEXTAFTER(AF61, ", ", 2), " ")</f>
        <v>Weikersheim-Zentrum</v>
      </c>
    </row>
    <row r="62" spans="1:35" x14ac:dyDescent="0.2">
      <c r="A62" t="str">
        <f>B62&amp;C62&amp;H62&amp;N62</f>
        <v>35002168TSG HeilbronnA-Junioren1</v>
      </c>
      <c r="B62" t="s">
        <v>349</v>
      </c>
      <c r="C62" t="s">
        <v>350</v>
      </c>
      <c r="D62" t="s">
        <v>34</v>
      </c>
      <c r="E62" t="s">
        <v>35</v>
      </c>
      <c r="F62" t="s">
        <v>36</v>
      </c>
      <c r="G62">
        <v>3</v>
      </c>
      <c r="H62" t="s">
        <v>37</v>
      </c>
      <c r="I62" s="5"/>
      <c r="J62" s="5"/>
      <c r="K62" s="5"/>
      <c r="L62" s="5"/>
      <c r="M62" s="5"/>
      <c r="N62">
        <v>1</v>
      </c>
      <c r="O62" t="s">
        <v>350</v>
      </c>
      <c r="P62" t="s">
        <v>40</v>
      </c>
      <c r="Q62" t="s">
        <v>40</v>
      </c>
      <c r="R62" t="s">
        <v>41</v>
      </c>
      <c r="U62" t="s">
        <v>118</v>
      </c>
      <c r="V62" t="s">
        <v>43</v>
      </c>
      <c r="W62" t="s">
        <v>43</v>
      </c>
      <c r="Y62" t="s">
        <v>43</v>
      </c>
      <c r="Z62" t="s">
        <v>45</v>
      </c>
      <c r="AA62" t="s">
        <v>351</v>
      </c>
      <c r="AB62" t="s">
        <v>43</v>
      </c>
      <c r="AC62" t="s">
        <v>43</v>
      </c>
      <c r="AD62" t="s">
        <v>43</v>
      </c>
      <c r="AE62" t="s">
        <v>43</v>
      </c>
      <c r="AF62" t="str">
        <f>AA62</f>
        <v>Wertwiesen (TSG) Rasen 1, Wertwiesen 8, 74081 Heilbronn-Sontheim</v>
      </c>
      <c r="AG62" t="str">
        <f>TRIM(MID(AF62, FIND(", ", AF62)+2, FIND(", ", AF62, FIND(", ", AF62)+1) - FIND(", ", AF62) - 2))</f>
        <v>Wertwiesen 8</v>
      </c>
      <c r="AH62" t="str">
        <f>_xlfn.TEXTBEFORE(_xlfn.TEXTAFTER(AF62, ", ", 2), " ")</f>
        <v>74081</v>
      </c>
      <c r="AI62" t="str">
        <f>_xlfn.TEXTAFTER(_xlfn.TEXTAFTER(AF62, ", ", 2), " ")</f>
        <v>Heilbronn-Sontheim</v>
      </c>
    </row>
    <row r="63" spans="1:35" x14ac:dyDescent="0.2">
      <c r="A63" t="str">
        <f>B63&amp;C63&amp;H63&amp;N63</f>
        <v>35002225Aramäer HeilbronnA-Junioren1</v>
      </c>
      <c r="B63" t="s">
        <v>334</v>
      </c>
      <c r="C63" t="s">
        <v>335</v>
      </c>
      <c r="D63" t="s">
        <v>34</v>
      </c>
      <c r="E63" t="s">
        <v>35</v>
      </c>
      <c r="F63" t="s">
        <v>36</v>
      </c>
      <c r="G63">
        <v>3</v>
      </c>
      <c r="H63" t="s">
        <v>37</v>
      </c>
      <c r="I63" s="5"/>
      <c r="J63" s="5"/>
      <c r="K63" s="5"/>
      <c r="L63" s="5"/>
      <c r="M63" s="5"/>
      <c r="N63">
        <v>1</v>
      </c>
      <c r="O63" t="s">
        <v>335</v>
      </c>
      <c r="P63" t="s">
        <v>40</v>
      </c>
      <c r="Q63" t="s">
        <v>40</v>
      </c>
      <c r="R63" t="s">
        <v>41</v>
      </c>
      <c r="U63" t="s">
        <v>118</v>
      </c>
      <c r="V63" t="s">
        <v>43</v>
      </c>
      <c r="W63" t="s">
        <v>43</v>
      </c>
      <c r="Y63" t="s">
        <v>336</v>
      </c>
      <c r="Z63" t="s">
        <v>45</v>
      </c>
      <c r="AA63" t="s">
        <v>337</v>
      </c>
      <c r="AB63" t="s">
        <v>43</v>
      </c>
      <c r="AC63" t="s">
        <v>43</v>
      </c>
      <c r="AD63" t="s">
        <v>43</v>
      </c>
      <c r="AE63" t="s">
        <v>43</v>
      </c>
      <c r="AF63" t="str">
        <f>AA63</f>
        <v>Sontheim Schulrasenplatz, Max-von-Laue-Str. 1-3, 74081 Heilbronn-Sontheim</v>
      </c>
      <c r="AG63" t="str">
        <f>TRIM(MID(AF63, FIND(", ", AF63)+2, FIND(", ", AF63, FIND(", ", AF63)+1) - FIND(", ", AF63) - 2))</f>
        <v>Max-von-Laue-Str. 1-3</v>
      </c>
      <c r="AH63" t="str">
        <f>_xlfn.TEXTBEFORE(_xlfn.TEXTAFTER(AF63, ", ", 2), " ")</f>
        <v>74081</v>
      </c>
      <c r="AI63" t="str">
        <f>_xlfn.TEXTAFTER(_xlfn.TEXTAFTER(AF63, ", ", 2), " ")</f>
        <v>Heilbronn-Sontheim</v>
      </c>
    </row>
    <row r="64" spans="1:35" x14ac:dyDescent="0.2">
      <c r="A64" t="str">
        <f>B64&amp;C64&amp;H64&amp;N64</f>
        <v>35002099FSV Friedrichshaller SV 1898A-Junioren1</v>
      </c>
      <c r="B64" t="s">
        <v>338</v>
      </c>
      <c r="C64" t="s">
        <v>339</v>
      </c>
      <c r="D64" t="s">
        <v>77</v>
      </c>
      <c r="E64" t="s">
        <v>35</v>
      </c>
      <c r="F64" t="s">
        <v>36</v>
      </c>
      <c r="G64">
        <v>3</v>
      </c>
      <c r="H64" t="s">
        <v>37</v>
      </c>
      <c r="I64" s="5"/>
      <c r="J64" s="5"/>
      <c r="K64" s="5"/>
      <c r="L64" s="5"/>
      <c r="M64" s="5"/>
      <c r="N64">
        <v>1</v>
      </c>
      <c r="O64" t="s">
        <v>340</v>
      </c>
      <c r="P64" t="s">
        <v>40</v>
      </c>
      <c r="Q64" t="s">
        <v>40</v>
      </c>
      <c r="R64" t="s">
        <v>41</v>
      </c>
      <c r="U64" t="s">
        <v>42</v>
      </c>
      <c r="V64" t="s">
        <v>43</v>
      </c>
      <c r="W64" t="s">
        <v>43</v>
      </c>
      <c r="Y64" t="s">
        <v>43</v>
      </c>
      <c r="Z64" t="s">
        <v>45</v>
      </c>
      <c r="AA64" t="s">
        <v>341</v>
      </c>
      <c r="AB64" t="s">
        <v>43</v>
      </c>
      <c r="AC64" t="s">
        <v>43</v>
      </c>
      <c r="AD64" t="s">
        <v>43</v>
      </c>
      <c r="AE64" t="s">
        <v>43</v>
      </c>
      <c r="AF64" t="str">
        <f>AA64</f>
        <v>Jagstfeld Kunstrasen, Hohe Straße , 74177 Bad Friedrichshall-Jagstfeld</v>
      </c>
      <c r="AG64" t="str">
        <f>TRIM(MID(AF64, FIND(", ", AF64)+2, FIND(", ", AF64, FIND(", ", AF64)+1) - FIND(", ", AF64) - 2))</f>
        <v>Hohe Straße</v>
      </c>
      <c r="AH64" t="str">
        <f>_xlfn.TEXTBEFORE(_xlfn.TEXTAFTER(AF64, ", ", 2), " ")</f>
        <v>74177</v>
      </c>
      <c r="AI64" t="str">
        <f>_xlfn.TEXTAFTER(_xlfn.TEXTAFTER(AF64, ", ", 2), " ")</f>
        <v>Bad Friedrichshall-Jagstfeld</v>
      </c>
    </row>
    <row r="65" spans="1:35" x14ac:dyDescent="0.2">
      <c r="A65" t="str">
        <f>B65&amp;C65&amp;H65&amp;N65</f>
        <v>35000126SV BerlichingenA-Junioren1</v>
      </c>
      <c r="B65" t="s">
        <v>342</v>
      </c>
      <c r="C65" t="s">
        <v>343</v>
      </c>
      <c r="D65" t="s">
        <v>49</v>
      </c>
      <c r="E65" t="s">
        <v>35</v>
      </c>
      <c r="F65" t="s">
        <v>50</v>
      </c>
      <c r="G65">
        <v>3</v>
      </c>
      <c r="H65" t="s">
        <v>37</v>
      </c>
      <c r="I65" s="5"/>
      <c r="J65" s="5"/>
      <c r="K65" s="5"/>
      <c r="L65" s="5"/>
      <c r="M65" s="5"/>
      <c r="N65">
        <v>1</v>
      </c>
      <c r="O65" t="s">
        <v>344</v>
      </c>
      <c r="P65" t="s">
        <v>40</v>
      </c>
      <c r="Q65" t="s">
        <v>40</v>
      </c>
      <c r="R65" t="s">
        <v>41</v>
      </c>
      <c r="U65" t="s">
        <v>118</v>
      </c>
      <c r="V65" t="s">
        <v>43</v>
      </c>
      <c r="W65" t="s">
        <v>43</v>
      </c>
      <c r="Y65" t="s">
        <v>345</v>
      </c>
      <c r="Z65" t="s">
        <v>45</v>
      </c>
      <c r="AA65" t="s">
        <v>346</v>
      </c>
      <c r="AB65" t="s">
        <v>43</v>
      </c>
      <c r="AC65" t="s">
        <v>43</v>
      </c>
      <c r="AD65" t="s">
        <v>43</v>
      </c>
      <c r="AE65" t="s">
        <v>43</v>
      </c>
      <c r="AF65" t="str">
        <f>AA65</f>
        <v>Sportplatz 1 in Berlichingen, An der Jagstbrücke, 74214 Berlichingen</v>
      </c>
      <c r="AG65" t="str">
        <f>TRIM(MID(AF65, FIND(", ", AF65)+2, FIND(", ", AF65, FIND(", ", AF65)+1) - FIND(", ", AF65) - 2))</f>
        <v>An der Jagstbrücke</v>
      </c>
      <c r="AH65" t="str">
        <f>_xlfn.TEXTBEFORE(_xlfn.TEXTAFTER(AF65, ", ", 2), " ")</f>
        <v>74214</v>
      </c>
      <c r="AI65" t="str">
        <f>_xlfn.TEXTAFTER(_xlfn.TEXTAFTER(AF65, ", ", 2), " ")</f>
        <v>Berlichingen</v>
      </c>
    </row>
    <row r="66" spans="1:35" x14ac:dyDescent="0.2">
      <c r="A66" t="str">
        <f>B66&amp;C66&amp;H66&amp;N66</f>
        <v>35001710VfR GommersdorfA-Junioren2</v>
      </c>
      <c r="B66" t="s">
        <v>90</v>
      </c>
      <c r="C66" t="s">
        <v>91</v>
      </c>
      <c r="D66" t="s">
        <v>49</v>
      </c>
      <c r="E66" t="s">
        <v>35</v>
      </c>
      <c r="F66" t="s">
        <v>50</v>
      </c>
      <c r="G66">
        <v>3</v>
      </c>
      <c r="H66" t="s">
        <v>37</v>
      </c>
      <c r="I66" s="5"/>
      <c r="J66" s="5"/>
      <c r="K66" s="5"/>
      <c r="L66" s="5"/>
      <c r="M66" s="5"/>
      <c r="N66">
        <v>2</v>
      </c>
      <c r="O66" t="s">
        <v>347</v>
      </c>
      <c r="P66" t="s">
        <v>40</v>
      </c>
      <c r="Q66" t="s">
        <v>40</v>
      </c>
      <c r="R66" t="s">
        <v>41</v>
      </c>
      <c r="U66" t="s">
        <v>226</v>
      </c>
      <c r="V66" t="s">
        <v>43</v>
      </c>
      <c r="W66" t="s">
        <v>43</v>
      </c>
      <c r="Y66" t="s">
        <v>348</v>
      </c>
      <c r="Z66" t="s">
        <v>45</v>
      </c>
      <c r="AA66" t="s">
        <v>96</v>
      </c>
      <c r="AB66" t="s">
        <v>43</v>
      </c>
      <c r="AC66" t="s">
        <v>43</v>
      </c>
      <c r="AD66" t="s">
        <v>43</v>
      </c>
      <c r="AE66" t="s">
        <v>43</v>
      </c>
      <c r="AF66" t="str">
        <f>AA66</f>
        <v>VfR Gommersdorf - Dieter-Gärtner-Arena 2, Stichele 1, 74238 Krautheim-Gommersdorf</v>
      </c>
      <c r="AG66" t="str">
        <f>TRIM(MID(AF66, FIND(", ", AF66)+2, FIND(", ", AF66, FIND(", ", AF66)+1) - FIND(", ", AF66) - 2))</f>
        <v>Stichele 1</v>
      </c>
      <c r="AH66" t="str">
        <f>_xlfn.TEXTBEFORE(_xlfn.TEXTAFTER(AF66, ", ", 2), " ")</f>
        <v>74238</v>
      </c>
      <c r="AI66" t="str">
        <f>_xlfn.TEXTAFTER(_xlfn.TEXTAFTER(AF66, ", ", 2), " ")</f>
        <v>Krautheim-Gommersdorf</v>
      </c>
    </row>
    <row r="67" spans="1:35" x14ac:dyDescent="0.2">
      <c r="A67" t="str">
        <f>B67&amp;C67&amp;H67&amp;N67</f>
        <v>35000709TSG Kirchberg/JagstA-Junioren1</v>
      </c>
      <c r="B67" t="s">
        <v>352</v>
      </c>
      <c r="C67" t="s">
        <v>353</v>
      </c>
      <c r="D67" t="s">
        <v>103</v>
      </c>
      <c r="E67" t="s">
        <v>35</v>
      </c>
      <c r="F67" t="s">
        <v>50</v>
      </c>
      <c r="G67">
        <v>12</v>
      </c>
      <c r="H67" t="s">
        <v>37</v>
      </c>
      <c r="I67" s="5"/>
      <c r="J67" s="5"/>
      <c r="K67" s="5"/>
      <c r="L67" s="5"/>
      <c r="M67" s="5"/>
      <c r="N67">
        <v>1</v>
      </c>
      <c r="O67" t="s">
        <v>353</v>
      </c>
      <c r="P67" t="s">
        <v>40</v>
      </c>
      <c r="Q67" t="s">
        <v>40</v>
      </c>
      <c r="R67" t="s">
        <v>41</v>
      </c>
      <c r="U67" t="s">
        <v>118</v>
      </c>
      <c r="V67" t="s">
        <v>43</v>
      </c>
      <c r="W67" t="s">
        <v>43</v>
      </c>
      <c r="Y67" t="s">
        <v>43</v>
      </c>
      <c r="Z67" t="s">
        <v>45</v>
      </c>
      <c r="AA67" t="s">
        <v>354</v>
      </c>
      <c r="AB67" t="s">
        <v>43</v>
      </c>
      <c r="AC67" t="s">
        <v>43</v>
      </c>
      <c r="AD67" t="s">
        <v>43</v>
      </c>
      <c r="AE67" t="s">
        <v>43</v>
      </c>
      <c r="AF67" t="str">
        <f>AA67</f>
        <v>Sportplatz 1, Uferweg 20, 74592 Kirchberg an der Jagst</v>
      </c>
      <c r="AG67" t="str">
        <f>TRIM(MID(AF67, FIND(", ", AF67)+2, FIND(", ", AF67, FIND(", ", AF67)+1) - FIND(", ", AF67) - 2))</f>
        <v>Uferweg 20</v>
      </c>
      <c r="AH67" t="str">
        <f>_xlfn.TEXTBEFORE(_xlfn.TEXTAFTER(AF67, ", ", 2), " ")</f>
        <v>74592</v>
      </c>
      <c r="AI67" t="str">
        <f>_xlfn.TEXTAFTER(_xlfn.TEXTAFTER(AF67, ", ", 2), " ")</f>
        <v>Kirchberg an der Jagst</v>
      </c>
    </row>
    <row r="68" spans="1:35" x14ac:dyDescent="0.2">
      <c r="A68" t="str">
        <f>B68&amp;C68&amp;H68&amp;N68</f>
        <v>35000989FC OberrotA-Junioren1</v>
      </c>
      <c r="B68" t="s">
        <v>286</v>
      </c>
      <c r="C68" t="s">
        <v>287</v>
      </c>
      <c r="D68" t="s">
        <v>288</v>
      </c>
      <c r="E68" t="s">
        <v>289</v>
      </c>
      <c r="F68" t="s">
        <v>290</v>
      </c>
      <c r="G68">
        <v>12</v>
      </c>
      <c r="H68" t="s">
        <v>37</v>
      </c>
      <c r="I68" s="5"/>
      <c r="J68" s="5"/>
      <c r="K68" s="5"/>
      <c r="L68" s="5"/>
      <c r="M68" s="5"/>
      <c r="N68">
        <v>1</v>
      </c>
      <c r="O68" t="s">
        <v>291</v>
      </c>
      <c r="P68" t="s">
        <v>40</v>
      </c>
      <c r="Q68" t="s">
        <v>40</v>
      </c>
      <c r="R68" t="s">
        <v>41</v>
      </c>
      <c r="U68" t="s">
        <v>118</v>
      </c>
      <c r="V68" t="s">
        <v>43</v>
      </c>
      <c r="W68" t="s">
        <v>43</v>
      </c>
      <c r="Y68" t="s">
        <v>43</v>
      </c>
      <c r="Z68" t="s">
        <v>45</v>
      </c>
      <c r="AA68" t="s">
        <v>292</v>
      </c>
      <c r="AB68" t="s">
        <v>293</v>
      </c>
      <c r="AC68" t="s">
        <v>294</v>
      </c>
      <c r="AD68" t="s">
        <v>43</v>
      </c>
      <c r="AE68" t="s">
        <v>43</v>
      </c>
      <c r="AF68" t="str">
        <f>AC68</f>
        <v>Rasenplatz Fichtenberg, Schulstr. 7, 74427 Fichtenberg-Zentrum</v>
      </c>
      <c r="AG68" t="str">
        <f>TRIM(MID(AF68, FIND(", ", AF68)+2, FIND(", ", AF68, FIND(", ", AF68)+1) - FIND(", ", AF68) - 2))</f>
        <v>Schulstr. 7</v>
      </c>
      <c r="AH68" t="str">
        <f>_xlfn.TEXTBEFORE(_xlfn.TEXTAFTER(AF68, ", ", 2), " ")</f>
        <v>74427</v>
      </c>
      <c r="AI68" t="str">
        <f>_xlfn.TEXTAFTER(_xlfn.TEXTAFTER(AF68, ", ", 2), " ")</f>
        <v>Fichtenberg-Zentrum</v>
      </c>
    </row>
    <row r="69" spans="1:35" x14ac:dyDescent="0.2">
      <c r="A69" t="str">
        <f>B69&amp;C69&amp;H69&amp;N69</f>
        <v>35002312VfR Heilbronn 96/18B-Junioren1</v>
      </c>
      <c r="B69" t="s">
        <v>32</v>
      </c>
      <c r="C69" t="s">
        <v>33</v>
      </c>
      <c r="D69" t="s">
        <v>34</v>
      </c>
      <c r="E69" t="s">
        <v>35</v>
      </c>
      <c r="F69" t="s">
        <v>36</v>
      </c>
      <c r="G69">
        <v>3</v>
      </c>
      <c r="H69" t="s">
        <v>355</v>
      </c>
      <c r="I69" t="s">
        <v>38</v>
      </c>
      <c r="J69" t="s">
        <v>356</v>
      </c>
      <c r="N69">
        <v>1</v>
      </c>
      <c r="O69" t="s">
        <v>357</v>
      </c>
      <c r="P69" t="s">
        <v>40</v>
      </c>
      <c r="Q69" t="s">
        <v>40</v>
      </c>
      <c r="R69" t="s">
        <v>41</v>
      </c>
      <c r="U69" t="s">
        <v>42</v>
      </c>
      <c r="V69" t="s">
        <v>43</v>
      </c>
      <c r="W69" t="s">
        <v>43</v>
      </c>
      <c r="Y69" t="s">
        <v>43</v>
      </c>
      <c r="Z69" t="s">
        <v>45</v>
      </c>
      <c r="AA69" t="s">
        <v>46</v>
      </c>
      <c r="AB69" t="s">
        <v>43</v>
      </c>
      <c r="AC69" t="s">
        <v>43</v>
      </c>
      <c r="AD69" t="s">
        <v>43</v>
      </c>
      <c r="AE69" t="s">
        <v>43</v>
      </c>
      <c r="AF69" t="str">
        <f>AA69</f>
        <v>Heilbronn Frankenstadion Kunstrasen, Badstr. 100, 74072 Heilbronn-Zentrum</v>
      </c>
      <c r="AG69" t="str">
        <f>TRIM(MID(AF69, FIND(", ", AF69)+2, FIND(", ", AF69, FIND(", ", AF69)+1) - FIND(", ", AF69) - 2))</f>
        <v>Badstr. 100</v>
      </c>
      <c r="AH69" t="str">
        <f>_xlfn.TEXTBEFORE(_xlfn.TEXTAFTER(AF69, ", ", 2), " ")</f>
        <v>74072</v>
      </c>
      <c r="AI69" t="str">
        <f>_xlfn.TEXTAFTER(_xlfn.TEXTAFTER(AF69, ", ", 2), " ")</f>
        <v>Heilbronn-Zentrum</v>
      </c>
    </row>
    <row r="70" spans="1:35" x14ac:dyDescent="0.2">
      <c r="A70" t="str">
        <f>B70&amp;C70&amp;H70&amp;N70</f>
        <v>35000636FSV HollenbachB-Junioren1</v>
      </c>
      <c r="B70" t="s">
        <v>47</v>
      </c>
      <c r="C70" t="s">
        <v>48</v>
      </c>
      <c r="D70" t="s">
        <v>49</v>
      </c>
      <c r="E70" t="s">
        <v>35</v>
      </c>
      <c r="F70" t="s">
        <v>50</v>
      </c>
      <c r="G70">
        <v>3</v>
      </c>
      <c r="H70" t="s">
        <v>355</v>
      </c>
      <c r="I70" t="s">
        <v>38</v>
      </c>
      <c r="J70" t="s">
        <v>356</v>
      </c>
      <c r="N70">
        <v>1</v>
      </c>
      <c r="O70" t="s">
        <v>48</v>
      </c>
      <c r="P70" t="s">
        <v>40</v>
      </c>
      <c r="Q70" t="s">
        <v>53</v>
      </c>
      <c r="R70" t="s">
        <v>41</v>
      </c>
      <c r="U70" t="s">
        <v>42</v>
      </c>
      <c r="V70" t="s">
        <v>43</v>
      </c>
      <c r="W70" t="s">
        <v>43</v>
      </c>
      <c r="Y70" t="s">
        <v>54</v>
      </c>
      <c r="Z70" t="s">
        <v>45</v>
      </c>
      <c r="AA70" t="s">
        <v>55</v>
      </c>
      <c r="AB70" t="s">
        <v>43</v>
      </c>
      <c r="AC70" t="s">
        <v>43</v>
      </c>
      <c r="AD70" t="s">
        <v>43</v>
      </c>
      <c r="AE70" t="s">
        <v>43</v>
      </c>
      <c r="AF70" t="str">
        <f>AA70</f>
        <v>Jako Arena (Kunstrasenplatz), Am Sportplatz 40, 74673 Mulfingen-Hollenbach</v>
      </c>
      <c r="AG70" t="str">
        <f>TRIM(MID(AF70, FIND(", ", AF70)+2, FIND(", ", AF70, FIND(", ", AF70)+1) - FIND(", ", AF70) - 2))</f>
        <v>Am Sportplatz 40</v>
      </c>
      <c r="AH70" t="str">
        <f>_xlfn.TEXTBEFORE(_xlfn.TEXTAFTER(AF70, ", ", 2), " ")</f>
        <v>74673</v>
      </c>
      <c r="AI70" t="str">
        <f>_xlfn.TEXTAFTER(_xlfn.TEXTAFTER(AF70, ", ", 2), " ")</f>
        <v>Mulfingen-Hollenbach</v>
      </c>
    </row>
    <row r="71" spans="1:35" x14ac:dyDescent="0.2">
      <c r="A71" t="str">
        <f>B71&amp;C71&amp;H71&amp;N71</f>
        <v>35002198FC Union HeilbronnB-Junioren1</v>
      </c>
      <c r="B71" t="s">
        <v>85</v>
      </c>
      <c r="C71" t="s">
        <v>86</v>
      </c>
      <c r="D71" t="s">
        <v>34</v>
      </c>
      <c r="E71" t="s">
        <v>35</v>
      </c>
      <c r="F71" t="s">
        <v>36</v>
      </c>
      <c r="G71">
        <v>3</v>
      </c>
      <c r="H71" t="s">
        <v>355</v>
      </c>
      <c r="I71" t="s">
        <v>51</v>
      </c>
      <c r="J71" t="s">
        <v>358</v>
      </c>
      <c r="N71">
        <v>1</v>
      </c>
      <c r="O71" t="s">
        <v>359</v>
      </c>
      <c r="P71" t="s">
        <v>40</v>
      </c>
      <c r="Q71" t="s">
        <v>40</v>
      </c>
      <c r="R71" t="s">
        <v>41</v>
      </c>
      <c r="U71" t="s">
        <v>42</v>
      </c>
      <c r="V71" t="s">
        <v>43</v>
      </c>
      <c r="W71" t="s">
        <v>43</v>
      </c>
      <c r="Y71" t="s">
        <v>88</v>
      </c>
      <c r="Z71" t="s">
        <v>45</v>
      </c>
      <c r="AA71" t="s">
        <v>89</v>
      </c>
      <c r="AB71" t="s">
        <v>43</v>
      </c>
      <c r="AC71" t="s">
        <v>43</v>
      </c>
      <c r="AD71" t="s">
        <v>43</v>
      </c>
      <c r="AE71" t="s">
        <v>43</v>
      </c>
      <c r="AF71" t="str">
        <f>AA71</f>
        <v>Böckingen (SC) Kunstrasen, Viehweide 5, 74080 Heilbronn-Böckingen</v>
      </c>
      <c r="AG71" t="str">
        <f>TRIM(MID(AF71, FIND(", ", AF71)+2, FIND(", ", AF71, FIND(", ", AF71)+1) - FIND(", ", AF71) - 2))</f>
        <v>Viehweide 5</v>
      </c>
      <c r="AH71" t="str">
        <f>_xlfn.TEXTBEFORE(_xlfn.TEXTAFTER(AF71, ", ", 2), " ")</f>
        <v>74080</v>
      </c>
      <c r="AI71" t="str">
        <f>_xlfn.TEXTAFTER(_xlfn.TEXTAFTER(AF71, ", ", 2), " ")</f>
        <v>Heilbronn-Böckingen</v>
      </c>
    </row>
    <row r="72" spans="1:35" x14ac:dyDescent="0.2">
      <c r="A72" t="str">
        <f>B72&amp;C72&amp;H72&amp;N72</f>
        <v>35002312VfR Heilbronn 96/18B-Junioren2</v>
      </c>
      <c r="B72" t="s">
        <v>32</v>
      </c>
      <c r="C72" t="s">
        <v>33</v>
      </c>
      <c r="D72" t="s">
        <v>34</v>
      </c>
      <c r="E72" t="s">
        <v>35</v>
      </c>
      <c r="F72" t="s">
        <v>36</v>
      </c>
      <c r="G72">
        <v>3</v>
      </c>
      <c r="H72" t="s">
        <v>355</v>
      </c>
      <c r="I72" t="s">
        <v>51</v>
      </c>
      <c r="J72" t="s">
        <v>358</v>
      </c>
      <c r="N72">
        <v>2</v>
      </c>
      <c r="O72" t="s">
        <v>360</v>
      </c>
      <c r="P72" t="s">
        <v>40</v>
      </c>
      <c r="Q72" t="s">
        <v>40</v>
      </c>
      <c r="R72" t="s">
        <v>41</v>
      </c>
      <c r="U72" t="s">
        <v>42</v>
      </c>
      <c r="V72" t="s">
        <v>43</v>
      </c>
      <c r="W72" t="s">
        <v>43</v>
      </c>
      <c r="Y72" t="s">
        <v>43</v>
      </c>
      <c r="Z72" t="s">
        <v>45</v>
      </c>
      <c r="AA72" t="s">
        <v>46</v>
      </c>
      <c r="AB72" t="s">
        <v>43</v>
      </c>
      <c r="AC72" t="s">
        <v>43</v>
      </c>
      <c r="AD72" t="s">
        <v>43</v>
      </c>
      <c r="AE72" t="s">
        <v>43</v>
      </c>
      <c r="AF72" t="str">
        <f>AA72</f>
        <v>Heilbronn Frankenstadion Kunstrasen, Badstr. 100, 74072 Heilbronn-Zentrum</v>
      </c>
      <c r="AG72" t="str">
        <f>TRIM(MID(AF72, FIND(", ", AF72)+2, FIND(", ", AF72, FIND(", ", AF72)+1) - FIND(", ", AF72) - 2))</f>
        <v>Badstr. 100</v>
      </c>
      <c r="AH72" t="str">
        <f>_xlfn.TEXTBEFORE(_xlfn.TEXTAFTER(AF72, ", ", 2), " ")</f>
        <v>74072</v>
      </c>
      <c r="AI72" t="str">
        <f>_xlfn.TEXTAFTER(_xlfn.TEXTAFTER(AF72, ", ", 2), " ")</f>
        <v>Heilbronn-Zentrum</v>
      </c>
    </row>
    <row r="73" spans="1:35" x14ac:dyDescent="0.2">
      <c r="A73" t="str">
        <f>B73&amp;C73&amp;H73&amp;N73</f>
        <v>35000110TGV Eintracht BeilsteinB-Junioren1</v>
      </c>
      <c r="B73" t="s">
        <v>397</v>
      </c>
      <c r="C73" t="s">
        <v>398</v>
      </c>
      <c r="D73" t="s">
        <v>34</v>
      </c>
      <c r="E73" t="s">
        <v>35</v>
      </c>
      <c r="F73" t="s">
        <v>36</v>
      </c>
      <c r="G73">
        <v>3</v>
      </c>
      <c r="H73" t="s">
        <v>355</v>
      </c>
      <c r="I73" t="s">
        <v>114</v>
      </c>
      <c r="J73" t="s">
        <v>371</v>
      </c>
      <c r="K73" t="s">
        <v>372</v>
      </c>
      <c r="L73" t="s">
        <v>1353</v>
      </c>
      <c r="M73">
        <v>8</v>
      </c>
      <c r="N73">
        <v>1</v>
      </c>
      <c r="O73" t="s">
        <v>399</v>
      </c>
      <c r="P73" t="s">
        <v>40</v>
      </c>
      <c r="Q73" t="s">
        <v>40</v>
      </c>
      <c r="R73" t="s">
        <v>41</v>
      </c>
      <c r="U73" t="s">
        <v>118</v>
      </c>
      <c r="V73" t="s">
        <v>43</v>
      </c>
      <c r="W73" t="s">
        <v>43</v>
      </c>
      <c r="Y73" t="s">
        <v>43</v>
      </c>
      <c r="Z73" t="s">
        <v>45</v>
      </c>
      <c r="AA73" t="s">
        <v>400</v>
      </c>
      <c r="AB73" t="s">
        <v>43</v>
      </c>
      <c r="AC73" t="s">
        <v>43</v>
      </c>
      <c r="AD73" t="s">
        <v>43</v>
      </c>
      <c r="AE73" t="s">
        <v>43</v>
      </c>
      <c r="AF73" t="str">
        <f>AA73</f>
        <v>Unterheinriet Rasen 1, Oberheinrieter Str., 74199 Untergruppenbach-Unterheinriet</v>
      </c>
      <c r="AG73" t="str">
        <f>TRIM(MID(AF73, FIND(", ", AF73)+2, FIND(", ", AF73, FIND(", ", AF73)+1) - FIND(", ", AF73) - 2))</f>
        <v>Oberheinrieter Str.</v>
      </c>
      <c r="AH73" t="str">
        <f>_xlfn.TEXTBEFORE(_xlfn.TEXTAFTER(AF73, ", ", 2), " ")</f>
        <v>74199</v>
      </c>
      <c r="AI73" t="str">
        <f>_xlfn.TEXTAFTER(_xlfn.TEXTAFTER(AF73, ", ", 2), " ")</f>
        <v>Untergruppenbach-Unterheinriet</v>
      </c>
    </row>
    <row r="74" spans="1:35" x14ac:dyDescent="0.2">
      <c r="A74" t="str">
        <f>B74&amp;C74&amp;H74&amp;N74</f>
        <v>35000411Sportverein Heilbronn am Leinbach 1891B-Junioren1</v>
      </c>
      <c r="B74" t="s">
        <v>223</v>
      </c>
      <c r="C74" t="s">
        <v>224</v>
      </c>
      <c r="D74" t="s">
        <v>34</v>
      </c>
      <c r="E74" t="s">
        <v>35</v>
      </c>
      <c r="F74" t="s">
        <v>36</v>
      </c>
      <c r="G74">
        <v>3</v>
      </c>
      <c r="H74" t="s">
        <v>355</v>
      </c>
      <c r="I74" t="s">
        <v>114</v>
      </c>
      <c r="J74" t="s">
        <v>371</v>
      </c>
      <c r="K74" t="s">
        <v>372</v>
      </c>
      <c r="L74" t="s">
        <v>1353</v>
      </c>
      <c r="M74">
        <v>10</v>
      </c>
      <c r="N74">
        <v>1</v>
      </c>
      <c r="O74" t="s">
        <v>401</v>
      </c>
      <c r="P74" t="s">
        <v>40</v>
      </c>
      <c r="Q74" t="s">
        <v>40</v>
      </c>
      <c r="R74" t="s">
        <v>41</v>
      </c>
      <c r="U74" t="s">
        <v>118</v>
      </c>
      <c r="V74" t="s">
        <v>43</v>
      </c>
      <c r="W74" t="s">
        <v>43</v>
      </c>
      <c r="Y74" t="s">
        <v>402</v>
      </c>
      <c r="Z74" t="s">
        <v>45</v>
      </c>
      <c r="AA74" t="s">
        <v>403</v>
      </c>
      <c r="AB74" t="s">
        <v>43</v>
      </c>
      <c r="AC74" t="s">
        <v>43</v>
      </c>
      <c r="AD74" t="s">
        <v>43</v>
      </c>
      <c r="AE74" t="s">
        <v>43</v>
      </c>
      <c r="AF74" t="str">
        <f>AA74</f>
        <v>Frankenbach Kunstrasen, Riedweg 52, 74078 Heilbronn-Frankenbach</v>
      </c>
      <c r="AG74" t="str">
        <f>TRIM(MID(AF74, FIND(", ", AF74)+2, FIND(", ", AF74, FIND(", ", AF74)+1) - FIND(", ", AF74) - 2))</f>
        <v>Riedweg 52</v>
      </c>
      <c r="AH74" t="str">
        <f>_xlfn.TEXTBEFORE(_xlfn.TEXTAFTER(AF74, ", ", 2), " ")</f>
        <v>74078</v>
      </c>
      <c r="AI74" t="str">
        <f>_xlfn.TEXTAFTER(_xlfn.TEXTAFTER(AF74, ", ", 2), " ")</f>
        <v>Heilbronn-Frankenbach</v>
      </c>
    </row>
    <row r="75" spans="1:35" x14ac:dyDescent="0.2">
      <c r="A75" t="str">
        <f>B75&amp;C75&amp;H75&amp;N75</f>
        <v>35000555TV Hausen/ZaberB-Junioren1</v>
      </c>
      <c r="B75" t="s">
        <v>376</v>
      </c>
      <c r="C75" t="s">
        <v>377</v>
      </c>
      <c r="D75" t="s">
        <v>34</v>
      </c>
      <c r="E75" t="s">
        <v>35</v>
      </c>
      <c r="F75" t="s">
        <v>36</v>
      </c>
      <c r="G75">
        <v>3</v>
      </c>
      <c r="H75" t="s">
        <v>355</v>
      </c>
      <c r="I75" t="s">
        <v>114</v>
      </c>
      <c r="J75" t="s">
        <v>371</v>
      </c>
      <c r="K75" t="s">
        <v>372</v>
      </c>
      <c r="L75" t="s">
        <v>1353</v>
      </c>
      <c r="M75">
        <v>5</v>
      </c>
      <c r="N75">
        <v>1</v>
      </c>
      <c r="O75" t="s">
        <v>378</v>
      </c>
      <c r="P75" t="s">
        <v>40</v>
      </c>
      <c r="Q75" t="s">
        <v>40</v>
      </c>
      <c r="R75" t="s">
        <v>41</v>
      </c>
      <c r="U75" t="s">
        <v>118</v>
      </c>
      <c r="V75" t="s">
        <v>43</v>
      </c>
      <c r="W75" t="s">
        <v>43</v>
      </c>
      <c r="Y75" t="s">
        <v>379</v>
      </c>
      <c r="Z75" t="s">
        <v>45</v>
      </c>
      <c r="AA75" t="s">
        <v>380</v>
      </c>
      <c r="AB75" t="s">
        <v>43</v>
      </c>
      <c r="AC75" t="s">
        <v>43</v>
      </c>
      <c r="AD75" t="s">
        <v>43</v>
      </c>
      <c r="AE75" t="s">
        <v>43</v>
      </c>
      <c r="AF75" t="str">
        <f>AA75</f>
        <v>Nordhausen Rasen 1, Raiffeisenstr., 74226 Nordheim-Nordhausen</v>
      </c>
      <c r="AG75" t="str">
        <f>TRIM(MID(AF75, FIND(", ", AF75)+2, FIND(", ", AF75, FIND(", ", AF75)+1) - FIND(", ", AF75) - 2))</f>
        <v>Raiffeisenstr.</v>
      </c>
      <c r="AH75" t="str">
        <f>_xlfn.TEXTBEFORE(_xlfn.TEXTAFTER(AF75, ", ", 2), " ")</f>
        <v>74226</v>
      </c>
      <c r="AI75" t="str">
        <f>_xlfn.TEXTAFTER(_xlfn.TEXTAFTER(AF75, ", ", 2), " ")</f>
        <v>Nordheim-Nordhausen</v>
      </c>
    </row>
    <row r="76" spans="1:35" x14ac:dyDescent="0.2">
      <c r="A76" t="str">
        <f>B76&amp;C76&amp;H76&amp;N76</f>
        <v>35000765Spfr LauffenB-Junioren1</v>
      </c>
      <c r="B76" t="s">
        <v>390</v>
      </c>
      <c r="C76" t="s">
        <v>391</v>
      </c>
      <c r="D76" t="s">
        <v>34</v>
      </c>
      <c r="E76" t="s">
        <v>35</v>
      </c>
      <c r="F76" t="s">
        <v>36</v>
      </c>
      <c r="G76">
        <v>3</v>
      </c>
      <c r="H76" t="s">
        <v>355</v>
      </c>
      <c r="I76" t="s">
        <v>114</v>
      </c>
      <c r="J76" t="s">
        <v>371</v>
      </c>
      <c r="K76" t="s">
        <v>372</v>
      </c>
      <c r="L76" t="s">
        <v>1353</v>
      </c>
      <c r="M76">
        <v>2</v>
      </c>
      <c r="N76">
        <v>1</v>
      </c>
      <c r="O76" t="s">
        <v>392</v>
      </c>
      <c r="P76" t="s">
        <v>40</v>
      </c>
      <c r="Q76" t="s">
        <v>40</v>
      </c>
      <c r="R76" t="s">
        <v>41</v>
      </c>
      <c r="U76" t="s">
        <v>118</v>
      </c>
      <c r="V76" t="s">
        <v>43</v>
      </c>
      <c r="W76" t="s">
        <v>43</v>
      </c>
      <c r="Y76" t="s">
        <v>393</v>
      </c>
      <c r="Z76" t="s">
        <v>45</v>
      </c>
      <c r="AA76" t="s">
        <v>220</v>
      </c>
      <c r="AB76" t="s">
        <v>394</v>
      </c>
      <c r="AC76" t="s">
        <v>395</v>
      </c>
      <c r="AD76" t="s">
        <v>396</v>
      </c>
      <c r="AE76" t="s">
        <v>222</v>
      </c>
      <c r="AF76" t="s">
        <v>222</v>
      </c>
      <c r="AG76" t="str">
        <f>TRIM(MID(AF76, FIND(", ", AF76)+2, FIND(", ", AF76, FIND(", ", AF76)+1) - FIND(", ", AF76) - 2))</f>
        <v>Am Forchenwald</v>
      </c>
      <c r="AH76" t="str">
        <f>_xlfn.TEXTBEFORE(_xlfn.TEXTAFTER(AF76, ", ", 2), " ")</f>
        <v>74348</v>
      </c>
      <c r="AI76" t="str">
        <f>_xlfn.TEXTAFTER(_xlfn.TEXTAFTER(AF76, ", ", 2), " ")</f>
        <v>Lauffen am Neckar-Zentrum</v>
      </c>
    </row>
    <row r="77" spans="1:35" x14ac:dyDescent="0.2">
      <c r="A77" t="str">
        <f>B77&amp;C77&amp;H77&amp;N77</f>
        <v>35000777SV LeingartenB-Junioren1</v>
      </c>
      <c r="B77" t="s">
        <v>158</v>
      </c>
      <c r="C77" t="s">
        <v>159</v>
      </c>
      <c r="D77" t="s">
        <v>34</v>
      </c>
      <c r="E77" t="s">
        <v>35</v>
      </c>
      <c r="F77" t="s">
        <v>36</v>
      </c>
      <c r="G77">
        <v>3</v>
      </c>
      <c r="H77" t="s">
        <v>355</v>
      </c>
      <c r="I77" t="s">
        <v>114</v>
      </c>
      <c r="J77" t="s">
        <v>371</v>
      </c>
      <c r="K77" t="s">
        <v>372</v>
      </c>
      <c r="L77" t="s">
        <v>1353</v>
      </c>
      <c r="M77">
        <v>4</v>
      </c>
      <c r="N77">
        <v>1</v>
      </c>
      <c r="O77" t="s">
        <v>159</v>
      </c>
      <c r="P77" t="s">
        <v>40</v>
      </c>
      <c r="Q77" t="s">
        <v>40</v>
      </c>
      <c r="R77" t="s">
        <v>41</v>
      </c>
      <c r="U77" t="s">
        <v>118</v>
      </c>
      <c r="V77" t="s">
        <v>43</v>
      </c>
      <c r="W77" t="s">
        <v>43</v>
      </c>
      <c r="Y77" t="s">
        <v>404</v>
      </c>
      <c r="Z77" t="s">
        <v>45</v>
      </c>
      <c r="AA77" t="s">
        <v>63</v>
      </c>
      <c r="AB77" t="s">
        <v>43</v>
      </c>
      <c r="AC77" t="s">
        <v>43</v>
      </c>
      <c r="AD77" t="s">
        <v>43</v>
      </c>
      <c r="AE77" t="s">
        <v>43</v>
      </c>
      <c r="AF77" t="str">
        <f>AA77</f>
        <v>Leingarten Kunstrasen, Egarten, 74211 Leingarten-Großgartach</v>
      </c>
      <c r="AG77" t="str">
        <f>TRIM(MID(AF77, FIND(", ", AF77)+2, FIND(", ", AF77, FIND(", ", AF77)+1) - FIND(", ", AF77) - 2))</f>
        <v>Egarten</v>
      </c>
      <c r="AH77" t="str">
        <f>_xlfn.TEXTBEFORE(_xlfn.TEXTAFTER(AF77, ", ", 2), " ")</f>
        <v>74211</v>
      </c>
      <c r="AI77" t="str">
        <f>_xlfn.TEXTAFTER(_xlfn.TEXTAFTER(AF77, ", ", 2), " ")</f>
        <v>Leingarten-Großgartach</v>
      </c>
    </row>
    <row r="78" spans="1:35" x14ac:dyDescent="0.2">
      <c r="A78" t="str">
        <f>B78&amp;C78&amp;H78&amp;N78</f>
        <v>35001207SV SchluchternB-Junioren1</v>
      </c>
      <c r="B78" t="s">
        <v>60</v>
      </c>
      <c r="C78" t="s">
        <v>61</v>
      </c>
      <c r="D78" t="s">
        <v>34</v>
      </c>
      <c r="E78" t="s">
        <v>35</v>
      </c>
      <c r="F78" t="s">
        <v>36</v>
      </c>
      <c r="G78">
        <v>3</v>
      </c>
      <c r="H78" t="s">
        <v>355</v>
      </c>
      <c r="I78" t="s">
        <v>114</v>
      </c>
      <c r="J78" t="s">
        <v>371</v>
      </c>
      <c r="K78" t="s">
        <v>372</v>
      </c>
      <c r="L78" t="s">
        <v>1353</v>
      </c>
      <c r="M78">
        <v>9</v>
      </c>
      <c r="N78">
        <v>1</v>
      </c>
      <c r="O78" t="s">
        <v>405</v>
      </c>
      <c r="P78" t="s">
        <v>40</v>
      </c>
      <c r="Q78" t="s">
        <v>40</v>
      </c>
      <c r="R78" t="s">
        <v>41</v>
      </c>
      <c r="U78" t="s">
        <v>118</v>
      </c>
      <c r="V78" t="s">
        <v>43</v>
      </c>
      <c r="W78" t="s">
        <v>43</v>
      </c>
      <c r="Y78" t="s">
        <v>406</v>
      </c>
      <c r="Z78" t="s">
        <v>45</v>
      </c>
      <c r="AA78" t="s">
        <v>407</v>
      </c>
      <c r="AB78" t="s">
        <v>43</v>
      </c>
      <c r="AC78" t="s">
        <v>43</v>
      </c>
      <c r="AD78" t="s">
        <v>43</v>
      </c>
      <c r="AE78" t="s">
        <v>43</v>
      </c>
      <c r="AF78" t="str">
        <f>AA78</f>
        <v>Schluchtern Rasen 1 (West), Breitwiesen 1 (an der B 293), 74211 Leingarten-Schluchtern</v>
      </c>
      <c r="AG78" t="str">
        <f>TRIM(MID(AF78, FIND(", ", AF78)+2, FIND(", ", AF78, FIND(", ", AF78)+1) - FIND(", ", AF78) - 2))</f>
        <v>Breitwiesen 1 (an der B 293)</v>
      </c>
      <c r="AH78" t="str">
        <f>_xlfn.TEXTBEFORE(_xlfn.TEXTAFTER(AF78, ", ", 2), " ")</f>
        <v>74211</v>
      </c>
      <c r="AI78" t="str">
        <f>_xlfn.TEXTAFTER(_xlfn.TEXTAFTER(AF78, ", ", 2), " ")</f>
        <v>Leingarten-Schluchtern</v>
      </c>
    </row>
    <row r="79" spans="1:35" x14ac:dyDescent="0.2">
      <c r="A79" t="str">
        <f>B79&amp;C79&amp;H79&amp;N79</f>
        <v>35002162SG Stetten-KleingartachB-Junioren1</v>
      </c>
      <c r="B79" t="s">
        <v>385</v>
      </c>
      <c r="C79" t="s">
        <v>386</v>
      </c>
      <c r="D79" t="s">
        <v>34</v>
      </c>
      <c r="E79" t="s">
        <v>35</v>
      </c>
      <c r="F79" t="s">
        <v>36</v>
      </c>
      <c r="G79">
        <v>3</v>
      </c>
      <c r="H79" t="s">
        <v>355</v>
      </c>
      <c r="I79" t="s">
        <v>114</v>
      </c>
      <c r="J79" t="s">
        <v>371</v>
      </c>
      <c r="K79" t="s">
        <v>372</v>
      </c>
      <c r="L79" t="s">
        <v>1353</v>
      </c>
      <c r="M79">
        <v>6</v>
      </c>
      <c r="N79">
        <v>1</v>
      </c>
      <c r="O79" t="s">
        <v>387</v>
      </c>
      <c r="P79" t="s">
        <v>40</v>
      </c>
      <c r="Q79" t="s">
        <v>40</v>
      </c>
      <c r="R79" t="s">
        <v>41</v>
      </c>
      <c r="U79" t="s">
        <v>118</v>
      </c>
      <c r="V79" t="s">
        <v>43</v>
      </c>
      <c r="W79" t="s">
        <v>43</v>
      </c>
      <c r="Y79" t="s">
        <v>388</v>
      </c>
      <c r="Z79" t="s">
        <v>45</v>
      </c>
      <c r="AA79" t="s">
        <v>389</v>
      </c>
      <c r="AB79" t="s">
        <v>43</v>
      </c>
      <c r="AC79" t="s">
        <v>43</v>
      </c>
      <c r="AD79" t="s">
        <v>43</v>
      </c>
      <c r="AE79" t="s">
        <v>43</v>
      </c>
      <c r="AF79" t="str">
        <f>AA79</f>
        <v>Stetten Rasen 1, Austr., 74193 Schwaigern-Stetten</v>
      </c>
      <c r="AG79" t="str">
        <f>TRIM(MID(AF79, FIND(", ", AF79)+2, FIND(", ", AF79, FIND(", ", AF79)+1) - FIND(", ", AF79) - 2))</f>
        <v>Austr.</v>
      </c>
      <c r="AH79" t="str">
        <f>_xlfn.TEXTBEFORE(_xlfn.TEXTAFTER(AF79, ", ", 2), " ")</f>
        <v>74193</v>
      </c>
      <c r="AI79" t="str">
        <f>_xlfn.TEXTAFTER(_xlfn.TEXTAFTER(AF79, ", ", 2), " ")</f>
        <v>Schwaigern-Stetten</v>
      </c>
    </row>
    <row r="80" spans="1:35" x14ac:dyDescent="0.2">
      <c r="A80" t="str">
        <f>B80&amp;C80&amp;H80&amp;N80</f>
        <v>35001000Spvgg OedheimB-Junioren1</v>
      </c>
      <c r="B80" t="s">
        <v>381</v>
      </c>
      <c r="C80" t="s">
        <v>382</v>
      </c>
      <c r="D80" t="s">
        <v>77</v>
      </c>
      <c r="E80" t="s">
        <v>35</v>
      </c>
      <c r="F80" t="s">
        <v>36</v>
      </c>
      <c r="G80">
        <v>3</v>
      </c>
      <c r="H80" t="s">
        <v>355</v>
      </c>
      <c r="I80" t="s">
        <v>114</v>
      </c>
      <c r="J80" t="s">
        <v>371</v>
      </c>
      <c r="K80" t="s">
        <v>372</v>
      </c>
      <c r="L80" t="s">
        <v>1353</v>
      </c>
      <c r="M80">
        <v>7</v>
      </c>
      <c r="N80">
        <v>1</v>
      </c>
      <c r="O80" t="s">
        <v>383</v>
      </c>
      <c r="P80" t="s">
        <v>40</v>
      </c>
      <c r="Q80" t="s">
        <v>40</v>
      </c>
      <c r="R80" t="s">
        <v>41</v>
      </c>
      <c r="U80" t="s">
        <v>118</v>
      </c>
      <c r="V80" t="s">
        <v>43</v>
      </c>
      <c r="W80" t="s">
        <v>43</v>
      </c>
      <c r="Y80" t="s">
        <v>384</v>
      </c>
      <c r="Z80" t="s">
        <v>45</v>
      </c>
      <c r="AA80" t="s">
        <v>145</v>
      </c>
      <c r="AB80" t="s">
        <v>43</v>
      </c>
      <c r="AC80" t="s">
        <v>43</v>
      </c>
      <c r="AD80" t="s">
        <v>43</v>
      </c>
      <c r="AE80" t="s">
        <v>43</v>
      </c>
      <c r="AF80" t="str">
        <f>AA80</f>
        <v>Oedheim Rasen, Mörikestr. 37, 74229 Oedheim</v>
      </c>
      <c r="AG80" t="str">
        <f>TRIM(MID(AF80, FIND(", ", AF80)+2, FIND(", ", AF80, FIND(", ", AF80)+1) - FIND(", ", AF80) - 2))</f>
        <v>Mörikestr. 37</v>
      </c>
      <c r="AH80" t="str">
        <f>_xlfn.TEXTBEFORE(_xlfn.TEXTAFTER(AF80, ", ", 2), " ")</f>
        <v>74229</v>
      </c>
      <c r="AI80" t="str">
        <f>_xlfn.TEXTAFTER(_xlfn.TEXTAFTER(AF80, ", ", 2), " ")</f>
        <v>Oedheim</v>
      </c>
    </row>
    <row r="81" spans="1:35" x14ac:dyDescent="0.2">
      <c r="A81" t="str">
        <f>B81&amp;C81&amp;H81&amp;N81</f>
        <v>35001521SG Bad WimpfenB-Junioren1</v>
      </c>
      <c r="B81" t="s">
        <v>120</v>
      </c>
      <c r="C81" t="s">
        <v>121</v>
      </c>
      <c r="D81" t="s">
        <v>77</v>
      </c>
      <c r="E81" t="s">
        <v>35</v>
      </c>
      <c r="F81" t="s">
        <v>36</v>
      </c>
      <c r="G81">
        <v>3</v>
      </c>
      <c r="H81" t="s">
        <v>355</v>
      </c>
      <c r="I81" t="s">
        <v>114</v>
      </c>
      <c r="J81" t="s">
        <v>371</v>
      </c>
      <c r="K81" t="s">
        <v>372</v>
      </c>
      <c r="L81" t="s">
        <v>1353</v>
      </c>
      <c r="M81">
        <v>1</v>
      </c>
      <c r="N81">
        <v>1</v>
      </c>
      <c r="O81" t="s">
        <v>374</v>
      </c>
      <c r="P81" t="s">
        <v>40</v>
      </c>
      <c r="Q81" t="s">
        <v>40</v>
      </c>
      <c r="R81" t="s">
        <v>41</v>
      </c>
      <c r="U81" t="s">
        <v>118</v>
      </c>
      <c r="V81" t="s">
        <v>43</v>
      </c>
      <c r="W81" t="s">
        <v>43</v>
      </c>
      <c r="Y81" t="s">
        <v>375</v>
      </c>
      <c r="Z81" t="s">
        <v>45</v>
      </c>
      <c r="AA81" t="s">
        <v>122</v>
      </c>
      <c r="AB81" t="s">
        <v>43</v>
      </c>
      <c r="AC81" t="s">
        <v>43</v>
      </c>
      <c r="AD81" t="s">
        <v>43</v>
      </c>
      <c r="AE81" t="s">
        <v>43</v>
      </c>
      <c r="AF81" t="str">
        <f>AA81</f>
        <v>Bad Wimpfen Kunstrasen, Erich-Sailer-Str. 59, 74206 Bad Wimpfen-Zentrum</v>
      </c>
      <c r="AG81" t="str">
        <f>TRIM(MID(AF81, FIND(", ", AF81)+2, FIND(", ", AF81, FIND(", ", AF81)+1) - FIND(", ", AF81) - 2))</f>
        <v>Erich-Sailer-Str. 59</v>
      </c>
      <c r="AH81" t="str">
        <f>_xlfn.TEXTBEFORE(_xlfn.TEXTAFTER(AF81, ", ", 2), " ")</f>
        <v>74206</v>
      </c>
      <c r="AI81" t="str">
        <f>_xlfn.TEXTAFTER(_xlfn.TEXTAFTER(AF81, ", ", 2), " ")</f>
        <v>Bad Wimpfen-Zentrum</v>
      </c>
    </row>
    <row r="82" spans="1:35" x14ac:dyDescent="0.2">
      <c r="A82" t="str">
        <f>B82&amp;C82&amp;H82&amp;N82</f>
        <v>35002099FSV Friedrichshaller SV 1898B-Junioren1</v>
      </c>
      <c r="B82" t="s">
        <v>338</v>
      </c>
      <c r="C82" t="s">
        <v>339</v>
      </c>
      <c r="D82" t="s">
        <v>77</v>
      </c>
      <c r="E82" t="s">
        <v>35</v>
      </c>
      <c r="F82" t="s">
        <v>36</v>
      </c>
      <c r="G82">
        <v>3</v>
      </c>
      <c r="H82" t="s">
        <v>355</v>
      </c>
      <c r="I82" t="s">
        <v>114</v>
      </c>
      <c r="J82" t="s">
        <v>371</v>
      </c>
      <c r="K82" t="s">
        <v>372</v>
      </c>
      <c r="L82" t="s">
        <v>1353</v>
      </c>
      <c r="M82">
        <v>3</v>
      </c>
      <c r="N82">
        <v>1</v>
      </c>
      <c r="O82" t="s">
        <v>373</v>
      </c>
      <c r="P82" t="s">
        <v>40</v>
      </c>
      <c r="Q82" t="s">
        <v>40</v>
      </c>
      <c r="R82" t="s">
        <v>41</v>
      </c>
      <c r="U82" t="s">
        <v>118</v>
      </c>
      <c r="V82" t="s">
        <v>43</v>
      </c>
      <c r="W82" t="s">
        <v>43</v>
      </c>
      <c r="Y82" t="s">
        <v>43</v>
      </c>
      <c r="Z82" t="s">
        <v>45</v>
      </c>
      <c r="AA82" t="s">
        <v>341</v>
      </c>
      <c r="AB82" t="s">
        <v>43</v>
      </c>
      <c r="AC82" t="s">
        <v>43</v>
      </c>
      <c r="AD82" t="s">
        <v>43</v>
      </c>
      <c r="AE82" t="s">
        <v>43</v>
      </c>
      <c r="AF82" t="str">
        <f>AA82</f>
        <v>Jagstfeld Kunstrasen, Hohe Straße , 74177 Bad Friedrichshall-Jagstfeld</v>
      </c>
      <c r="AG82" t="str">
        <f>TRIM(MID(AF82, FIND(", ", AF82)+2, FIND(", ", AF82, FIND(", ", AF82)+1) - FIND(", ", AF82) - 2))</f>
        <v>Hohe Straße</v>
      </c>
      <c r="AH82" t="str">
        <f>_xlfn.TEXTBEFORE(_xlfn.TEXTAFTER(AF82, ", ", 2), " ")</f>
        <v>74177</v>
      </c>
      <c r="AI82" t="str">
        <f>_xlfn.TEXTAFTER(_xlfn.TEXTAFTER(AF82, ", ", 2), " ")</f>
        <v>Bad Friedrichshall-Jagstfeld</v>
      </c>
    </row>
    <row r="83" spans="1:35" x14ac:dyDescent="0.2">
      <c r="A83" t="str">
        <f>B83&amp;C83&amp;H83&amp;N83</f>
        <v>35001044TSV PfedelbachB-Junioren1</v>
      </c>
      <c r="B83" t="s">
        <v>425</v>
      </c>
      <c r="C83" t="s">
        <v>426</v>
      </c>
      <c r="D83" t="s">
        <v>66</v>
      </c>
      <c r="E83" t="s">
        <v>35</v>
      </c>
      <c r="F83" t="s">
        <v>50</v>
      </c>
      <c r="G83">
        <v>3</v>
      </c>
      <c r="H83" t="s">
        <v>355</v>
      </c>
      <c r="I83" t="s">
        <v>114</v>
      </c>
      <c r="J83" t="s">
        <v>371</v>
      </c>
      <c r="K83" t="s">
        <v>410</v>
      </c>
      <c r="L83" t="s">
        <v>1354</v>
      </c>
      <c r="M83">
        <v>9</v>
      </c>
      <c r="N83">
        <v>1</v>
      </c>
      <c r="O83" t="s">
        <v>427</v>
      </c>
      <c r="P83" t="s">
        <v>40</v>
      </c>
      <c r="Q83" t="s">
        <v>40</v>
      </c>
      <c r="R83" t="s">
        <v>41</v>
      </c>
      <c r="U83" t="s">
        <v>118</v>
      </c>
      <c r="V83" t="s">
        <v>43</v>
      </c>
      <c r="W83" t="s">
        <v>43</v>
      </c>
      <c r="Y83" t="s">
        <v>428</v>
      </c>
      <c r="Z83" t="s">
        <v>45</v>
      </c>
      <c r="AA83" t="s">
        <v>429</v>
      </c>
      <c r="AB83" t="s">
        <v>430</v>
      </c>
      <c r="AC83" t="s">
        <v>431</v>
      </c>
      <c r="AD83" t="s">
        <v>432</v>
      </c>
      <c r="AE83" t="s">
        <v>429</v>
      </c>
      <c r="AF83" t="s">
        <v>429</v>
      </c>
      <c r="AG83" t="str">
        <f>TRIM(MID(AF83, FIND(", ", AF83)+2, FIND(", ", AF83, FIND(", ", AF83)+1) - FIND(", ", AF83) - 2))</f>
        <v>Weststr. 30</v>
      </c>
      <c r="AH83" t="str">
        <f>_xlfn.TEXTBEFORE(_xlfn.TEXTAFTER(AF83, ", ", 2), " ")</f>
        <v>74629</v>
      </c>
      <c r="AI83" t="str">
        <f>_xlfn.TEXTAFTER(_xlfn.TEXTAFTER(AF83, ", ", 2), " ")</f>
        <v>Pfedelbach</v>
      </c>
    </row>
    <row r="84" spans="1:35" x14ac:dyDescent="0.2">
      <c r="A84" t="str">
        <f>B84&amp;C84&amp;H84&amp;N84</f>
        <v>35000671TSV IngelfingenB-Junioren1</v>
      </c>
      <c r="B84" t="s">
        <v>421</v>
      </c>
      <c r="C84" t="s">
        <v>422</v>
      </c>
      <c r="D84" t="s">
        <v>49</v>
      </c>
      <c r="E84" t="s">
        <v>35</v>
      </c>
      <c r="F84" t="s">
        <v>50</v>
      </c>
      <c r="G84">
        <v>3</v>
      </c>
      <c r="H84" t="s">
        <v>355</v>
      </c>
      <c r="I84" t="s">
        <v>114</v>
      </c>
      <c r="J84" t="s">
        <v>371</v>
      </c>
      <c r="K84" t="s">
        <v>410</v>
      </c>
      <c r="L84" t="s">
        <v>1354</v>
      </c>
      <c r="M84">
        <v>5</v>
      </c>
      <c r="N84">
        <v>1</v>
      </c>
      <c r="O84" t="s">
        <v>423</v>
      </c>
      <c r="P84" t="s">
        <v>40</v>
      </c>
      <c r="Q84" t="s">
        <v>40</v>
      </c>
      <c r="R84" t="s">
        <v>41</v>
      </c>
      <c r="U84" t="s">
        <v>118</v>
      </c>
      <c r="V84" t="s">
        <v>43</v>
      </c>
      <c r="W84" t="s">
        <v>43</v>
      </c>
      <c r="Y84" t="s">
        <v>43</v>
      </c>
      <c r="Z84" t="s">
        <v>45</v>
      </c>
      <c r="AA84" t="s">
        <v>424</v>
      </c>
      <c r="AB84" t="s">
        <v>43</v>
      </c>
      <c r="AC84" t="s">
        <v>43</v>
      </c>
      <c r="AD84" t="s">
        <v>43</v>
      </c>
      <c r="AE84" t="s">
        <v>43</v>
      </c>
      <c r="AF84" t="str">
        <f>AA84</f>
        <v>Rasenplatz SSV Gaisbach, Ballenwasen 4, 74653 Künzelsau-Gaisbach</v>
      </c>
      <c r="AG84" t="str">
        <f>TRIM(MID(AF84, FIND(", ", AF84)+2, FIND(", ", AF84, FIND(", ", AF84)+1) - FIND(", ", AF84) - 2))</f>
        <v>Ballenwasen 4</v>
      </c>
      <c r="AH84" t="str">
        <f>_xlfn.TEXTBEFORE(_xlfn.TEXTAFTER(AF84, ", ", 2), " ")</f>
        <v>74653</v>
      </c>
      <c r="AI84" t="str">
        <f>_xlfn.TEXTAFTER(_xlfn.TEXTAFTER(AF84, ", ", 2), " ")</f>
        <v>Künzelsau-Gaisbach</v>
      </c>
    </row>
    <row r="85" spans="1:35" x14ac:dyDescent="0.2">
      <c r="A85" t="str">
        <f>B85&amp;C85&amp;H85&amp;N85</f>
        <v>35001506SV WesternhausenB-Junioren1</v>
      </c>
      <c r="B85" t="s">
        <v>417</v>
      </c>
      <c r="C85" t="s">
        <v>418</v>
      </c>
      <c r="D85" t="s">
        <v>49</v>
      </c>
      <c r="E85" t="s">
        <v>35</v>
      </c>
      <c r="F85" t="s">
        <v>50</v>
      </c>
      <c r="G85">
        <v>3</v>
      </c>
      <c r="H85" t="s">
        <v>355</v>
      </c>
      <c r="I85" t="s">
        <v>114</v>
      </c>
      <c r="J85" t="s">
        <v>371</v>
      </c>
      <c r="K85" t="s">
        <v>410</v>
      </c>
      <c r="L85" t="s">
        <v>1354</v>
      </c>
      <c r="M85">
        <v>10</v>
      </c>
      <c r="N85">
        <v>1</v>
      </c>
      <c r="O85" t="s">
        <v>419</v>
      </c>
      <c r="P85" t="s">
        <v>40</v>
      </c>
      <c r="Q85" t="s">
        <v>40</v>
      </c>
      <c r="R85" t="s">
        <v>41</v>
      </c>
      <c r="U85" t="s">
        <v>118</v>
      </c>
      <c r="V85" t="s">
        <v>43</v>
      </c>
      <c r="W85" t="s">
        <v>43</v>
      </c>
      <c r="Y85" t="s">
        <v>43</v>
      </c>
      <c r="Z85" t="s">
        <v>45</v>
      </c>
      <c r="AA85" t="s">
        <v>420</v>
      </c>
      <c r="AB85" t="s">
        <v>43</v>
      </c>
      <c r="AC85" t="s">
        <v>43</v>
      </c>
      <c r="AD85" t="s">
        <v>43</v>
      </c>
      <c r="AE85" t="s">
        <v>43</v>
      </c>
      <c r="AF85" t="str">
        <f>AA85</f>
        <v>Sportplatz 1 Westernhausen, Brückenstr., 74214 Schöntal-Westernhausen</v>
      </c>
      <c r="AG85" t="str">
        <f>TRIM(MID(AF85, FIND(", ", AF85)+2, FIND(", ", AF85, FIND(", ", AF85)+1) - FIND(", ", AF85) - 2))</f>
        <v>Brückenstr.</v>
      </c>
      <c r="AH85" t="str">
        <f>_xlfn.TEXTBEFORE(_xlfn.TEXTAFTER(AF85, ", ", 2), " ")</f>
        <v>74214</v>
      </c>
      <c r="AI85" t="str">
        <f>_xlfn.TEXTAFTER(_xlfn.TEXTAFTER(AF85, ", ", 2), " ")</f>
        <v>Schöntal-Westernhausen</v>
      </c>
    </row>
    <row r="86" spans="1:35" x14ac:dyDescent="0.2">
      <c r="A86" t="str">
        <f>B86&amp;C86&amp;H86&amp;N86</f>
        <v>35000042VfR AltenmünsterB-Junioren1</v>
      </c>
      <c r="B86" t="s">
        <v>320</v>
      </c>
      <c r="C86" t="s">
        <v>321</v>
      </c>
      <c r="D86" t="s">
        <v>103</v>
      </c>
      <c r="E86" t="s">
        <v>35</v>
      </c>
      <c r="F86" t="s">
        <v>50</v>
      </c>
      <c r="G86">
        <v>12</v>
      </c>
      <c r="H86" t="s">
        <v>355</v>
      </c>
      <c r="I86" t="s">
        <v>114</v>
      </c>
      <c r="J86" t="s">
        <v>371</v>
      </c>
      <c r="K86" t="s">
        <v>410</v>
      </c>
      <c r="L86" t="s">
        <v>1354</v>
      </c>
      <c r="M86">
        <v>3</v>
      </c>
      <c r="N86">
        <v>1</v>
      </c>
      <c r="O86" t="s">
        <v>437</v>
      </c>
      <c r="P86" t="s">
        <v>40</v>
      </c>
      <c r="Q86" t="s">
        <v>40</v>
      </c>
      <c r="R86" t="s">
        <v>41</v>
      </c>
      <c r="U86" t="s">
        <v>118</v>
      </c>
      <c r="V86" t="s">
        <v>43</v>
      </c>
      <c r="W86" t="s">
        <v>43</v>
      </c>
      <c r="Y86" t="s">
        <v>438</v>
      </c>
      <c r="Z86" t="s">
        <v>45</v>
      </c>
      <c r="AA86" t="s">
        <v>324</v>
      </c>
      <c r="AB86" t="s">
        <v>43</v>
      </c>
      <c r="AC86" t="s">
        <v>43</v>
      </c>
      <c r="AD86" t="s">
        <v>43</v>
      </c>
      <c r="AE86" t="s">
        <v>43</v>
      </c>
      <c r="AF86" t="str">
        <f>AA86</f>
        <v>Sportplatz 1 VfR Altenmünster, Kirchstr., 74564 Crailsheim</v>
      </c>
      <c r="AG86" t="str">
        <f>TRIM(MID(AF86, FIND(", ", AF86)+2, FIND(", ", AF86, FIND(", ", AF86)+1) - FIND(", ", AF86) - 2))</f>
        <v>Kirchstr.</v>
      </c>
      <c r="AH86" t="str">
        <f>_xlfn.TEXTBEFORE(_xlfn.TEXTAFTER(AF86, ", ", 2), " ")</f>
        <v>74564</v>
      </c>
      <c r="AI86" t="str">
        <f>_xlfn.TEXTAFTER(_xlfn.TEXTAFTER(AF86, ", ", 2), " ")</f>
        <v>Crailsheim</v>
      </c>
    </row>
    <row r="87" spans="1:35" x14ac:dyDescent="0.2">
      <c r="A87" t="str">
        <f>B87&amp;C87&amp;H87&amp;N87</f>
        <v>35000584Spvgg Hengstfeld-WallhausenB-Junioren1</v>
      </c>
      <c r="B87" t="s">
        <v>176</v>
      </c>
      <c r="C87" t="s">
        <v>177</v>
      </c>
      <c r="D87" t="s">
        <v>103</v>
      </c>
      <c r="E87" t="s">
        <v>35</v>
      </c>
      <c r="F87" t="s">
        <v>50</v>
      </c>
      <c r="G87">
        <v>12</v>
      </c>
      <c r="H87" t="s">
        <v>355</v>
      </c>
      <c r="I87" t="s">
        <v>114</v>
      </c>
      <c r="J87" t="s">
        <v>371</v>
      </c>
      <c r="K87" t="s">
        <v>410</v>
      </c>
      <c r="L87" t="s">
        <v>1354</v>
      </c>
      <c r="M87">
        <v>4</v>
      </c>
      <c r="N87">
        <v>1</v>
      </c>
      <c r="O87" t="s">
        <v>178</v>
      </c>
      <c r="P87" t="s">
        <v>40</v>
      </c>
      <c r="Q87" t="s">
        <v>40</v>
      </c>
      <c r="R87" t="s">
        <v>41</v>
      </c>
      <c r="U87" t="s">
        <v>118</v>
      </c>
      <c r="V87" t="s">
        <v>43</v>
      </c>
      <c r="W87" t="s">
        <v>43</v>
      </c>
      <c r="Y87" t="s">
        <v>43</v>
      </c>
      <c r="Z87" t="s">
        <v>45</v>
      </c>
      <c r="AA87" t="s">
        <v>179</v>
      </c>
      <c r="AB87" t="s">
        <v>43</v>
      </c>
      <c r="AC87" t="s">
        <v>43</v>
      </c>
      <c r="AD87" t="s">
        <v>43</v>
      </c>
      <c r="AE87" t="s">
        <v>43</v>
      </c>
      <c r="AF87" t="str">
        <f>AA87</f>
        <v>Kunstrasenplatz Rot am See, An den Sportanlagen 6, 74585 Rot am See</v>
      </c>
      <c r="AG87" t="str">
        <f>TRIM(MID(AF87, FIND(", ", AF87)+2, FIND(", ", AF87, FIND(", ", AF87)+1) - FIND(", ", AF87) - 2))</f>
        <v>An den Sportanlagen 6</v>
      </c>
      <c r="AH87" t="str">
        <f>_xlfn.TEXTBEFORE(_xlfn.TEXTAFTER(AF87, ", ", 2), " ")</f>
        <v>74585</v>
      </c>
      <c r="AI87" t="str">
        <f>_xlfn.TEXTAFTER(_xlfn.TEXTAFTER(AF87, ", ", 2), " ")</f>
        <v>Rot am See</v>
      </c>
    </row>
    <row r="88" spans="1:35" x14ac:dyDescent="0.2">
      <c r="A88" t="str">
        <f>B88&amp;C88&amp;H88&amp;N88</f>
        <v>35000760FC LangenburgB-Junioren1</v>
      </c>
      <c r="B88" t="s">
        <v>412</v>
      </c>
      <c r="C88" t="s">
        <v>413</v>
      </c>
      <c r="D88" t="s">
        <v>103</v>
      </c>
      <c r="E88" t="s">
        <v>35</v>
      </c>
      <c r="F88" t="s">
        <v>50</v>
      </c>
      <c r="G88">
        <v>12</v>
      </c>
      <c r="H88" t="s">
        <v>355</v>
      </c>
      <c r="I88" t="s">
        <v>114</v>
      </c>
      <c r="J88" t="s">
        <v>371</v>
      </c>
      <c r="K88" t="s">
        <v>410</v>
      </c>
      <c r="L88" t="s">
        <v>1354</v>
      </c>
      <c r="M88">
        <v>2</v>
      </c>
      <c r="N88">
        <v>1</v>
      </c>
      <c r="O88" t="s">
        <v>414</v>
      </c>
      <c r="P88" t="s">
        <v>40</v>
      </c>
      <c r="Q88" t="s">
        <v>40</v>
      </c>
      <c r="R88" t="s">
        <v>41</v>
      </c>
      <c r="U88" t="s">
        <v>118</v>
      </c>
      <c r="V88" t="s">
        <v>43</v>
      </c>
      <c r="W88" t="s">
        <v>43</v>
      </c>
      <c r="Y88" t="s">
        <v>415</v>
      </c>
      <c r="Z88" t="s">
        <v>45</v>
      </c>
      <c r="AA88" t="s">
        <v>416</v>
      </c>
      <c r="AB88" t="s">
        <v>43</v>
      </c>
      <c r="AC88" t="s">
        <v>43</v>
      </c>
      <c r="AD88" t="s">
        <v>43</v>
      </c>
      <c r="AE88" t="s">
        <v>43</v>
      </c>
      <c r="AF88" t="str">
        <f>AA88</f>
        <v>Sportplatz 1 FC Langenburg, Seestr. 72, 74595 Langenburg</v>
      </c>
      <c r="AG88" t="str">
        <f>TRIM(MID(AF88, FIND(", ", AF88)+2, FIND(", ", AF88, FIND(", ", AF88)+1) - FIND(", ", AF88) - 2))</f>
        <v>Seestr. 72</v>
      </c>
      <c r="AH88" t="str">
        <f>_xlfn.TEXTBEFORE(_xlfn.TEXTAFTER(AF88, ", ", 2), " ")</f>
        <v>74595</v>
      </c>
      <c r="AI88" t="str">
        <f>_xlfn.TEXTAFTER(_xlfn.TEXTAFTER(AF88, ", ", 2), " ")</f>
        <v>Langenburg</v>
      </c>
    </row>
    <row r="89" spans="1:35" x14ac:dyDescent="0.2">
      <c r="A89" t="str">
        <f>B89&amp;C89&amp;H89&amp;N89</f>
        <v>35000822VfL MainhardtB-Junioren1</v>
      </c>
      <c r="B89" t="s">
        <v>433</v>
      </c>
      <c r="C89" t="s">
        <v>434</v>
      </c>
      <c r="D89" t="s">
        <v>58</v>
      </c>
      <c r="E89" t="s">
        <v>35</v>
      </c>
      <c r="F89" t="s">
        <v>50</v>
      </c>
      <c r="G89">
        <v>12</v>
      </c>
      <c r="H89" t="s">
        <v>355</v>
      </c>
      <c r="I89" t="s">
        <v>114</v>
      </c>
      <c r="J89" t="s">
        <v>371</v>
      </c>
      <c r="K89" t="s">
        <v>410</v>
      </c>
      <c r="L89" t="s">
        <v>1354</v>
      </c>
      <c r="M89">
        <v>8</v>
      </c>
      <c r="N89">
        <v>1</v>
      </c>
      <c r="O89" t="s">
        <v>435</v>
      </c>
      <c r="P89" t="s">
        <v>40</v>
      </c>
      <c r="Q89" t="s">
        <v>40</v>
      </c>
      <c r="R89" t="s">
        <v>41</v>
      </c>
      <c r="U89" t="s">
        <v>118</v>
      </c>
      <c r="V89" t="s">
        <v>43</v>
      </c>
      <c r="W89" t="s">
        <v>43</v>
      </c>
      <c r="Y89" t="s">
        <v>43</v>
      </c>
      <c r="Z89" t="s">
        <v>45</v>
      </c>
      <c r="AA89" t="s">
        <v>436</v>
      </c>
      <c r="AB89" t="s">
        <v>43</v>
      </c>
      <c r="AC89" t="s">
        <v>43</v>
      </c>
      <c r="AD89" t="s">
        <v>43</v>
      </c>
      <c r="AE89" t="s">
        <v>43</v>
      </c>
      <c r="AF89" t="str">
        <f>AA89</f>
        <v>Sportplatz 1 an Steinbühlhalle, Steinbühl, 74535 Mainhardt</v>
      </c>
      <c r="AG89" t="str">
        <f>TRIM(MID(AF89, FIND(", ", AF89)+2, FIND(", ", AF89, FIND(", ", AF89)+1) - FIND(", ", AF89) - 2))</f>
        <v>Steinbühl</v>
      </c>
      <c r="AH89" t="str">
        <f>_xlfn.TEXTBEFORE(_xlfn.TEXTAFTER(AF89, ", ", 2), " ")</f>
        <v>74535</v>
      </c>
      <c r="AI89" t="str">
        <f>_xlfn.TEXTAFTER(_xlfn.TEXTAFTER(AF89, ", ", 2), " ")</f>
        <v>Mainhardt</v>
      </c>
    </row>
    <row r="90" spans="1:35" x14ac:dyDescent="0.2">
      <c r="A90" t="str">
        <f>B90&amp;C90&amp;H90&amp;N90</f>
        <v>35001376SV TüngentalB-Junioren1</v>
      </c>
      <c r="B90" t="s">
        <v>439</v>
      </c>
      <c r="C90" t="s">
        <v>440</v>
      </c>
      <c r="D90" t="s">
        <v>58</v>
      </c>
      <c r="E90" t="s">
        <v>35</v>
      </c>
      <c r="F90" t="s">
        <v>50</v>
      </c>
      <c r="G90">
        <v>12</v>
      </c>
      <c r="H90" t="s">
        <v>355</v>
      </c>
      <c r="I90" t="s">
        <v>114</v>
      </c>
      <c r="J90" t="s">
        <v>371</v>
      </c>
      <c r="K90" t="s">
        <v>410</v>
      </c>
      <c r="L90" t="s">
        <v>1354</v>
      </c>
      <c r="M90">
        <v>6</v>
      </c>
      <c r="N90">
        <v>1</v>
      </c>
      <c r="O90" t="s">
        <v>440</v>
      </c>
      <c r="P90" t="s">
        <v>40</v>
      </c>
      <c r="Q90" t="s">
        <v>40</v>
      </c>
      <c r="R90" t="s">
        <v>41</v>
      </c>
      <c r="U90" t="s">
        <v>118</v>
      </c>
      <c r="V90" t="s">
        <v>43</v>
      </c>
      <c r="W90" t="s">
        <v>43</v>
      </c>
      <c r="Y90" t="s">
        <v>43</v>
      </c>
      <c r="Z90" t="s">
        <v>45</v>
      </c>
      <c r="AA90" t="s">
        <v>441</v>
      </c>
      <c r="AB90" t="s">
        <v>43</v>
      </c>
      <c r="AC90" t="s">
        <v>43</v>
      </c>
      <c r="AD90" t="s">
        <v>43</v>
      </c>
      <c r="AE90" t="s">
        <v>43</v>
      </c>
      <c r="AF90" t="str">
        <f>AA90</f>
        <v>Sportplatz 1 SV Tüngental, Ramsbacher Str., 74523 Schwäbisch Hall-Tüngental</v>
      </c>
      <c r="AG90" t="str">
        <f>TRIM(MID(AF90, FIND(", ", AF90)+2, FIND(", ", AF90, FIND(", ", AF90)+1) - FIND(", ", AF90) - 2))</f>
        <v>Ramsbacher Str.</v>
      </c>
      <c r="AH90" t="str">
        <f>_xlfn.TEXTBEFORE(_xlfn.TEXTAFTER(AF90, ", ", 2), " ")</f>
        <v>74523</v>
      </c>
      <c r="AI90" t="str">
        <f>_xlfn.TEXTAFTER(_xlfn.TEXTAFTER(AF90, ", ", 2), " ")</f>
        <v>Schwäbisch Hall-Tüngental</v>
      </c>
    </row>
    <row r="91" spans="1:35" x14ac:dyDescent="0.2">
      <c r="A91" t="str">
        <f>B91&amp;C91&amp;H91&amp;N91</f>
        <v>350006591. FC IgersheimB-Junioren1</v>
      </c>
      <c r="B91" t="s">
        <v>408</v>
      </c>
      <c r="C91" t="s">
        <v>409</v>
      </c>
      <c r="D91" t="s">
        <v>204</v>
      </c>
      <c r="E91" t="s">
        <v>35</v>
      </c>
      <c r="F91" t="s">
        <v>50</v>
      </c>
      <c r="G91">
        <v>3</v>
      </c>
      <c r="H91" t="s">
        <v>355</v>
      </c>
      <c r="I91" t="s">
        <v>114</v>
      </c>
      <c r="J91" t="s">
        <v>371</v>
      </c>
      <c r="K91" t="s">
        <v>410</v>
      </c>
      <c r="L91" t="s">
        <v>1354</v>
      </c>
      <c r="M91">
        <v>1</v>
      </c>
      <c r="N91">
        <v>1</v>
      </c>
      <c r="O91" t="s">
        <v>409</v>
      </c>
      <c r="P91" t="s">
        <v>40</v>
      </c>
      <c r="Q91" t="s">
        <v>40</v>
      </c>
      <c r="R91" t="s">
        <v>41</v>
      </c>
      <c r="U91" t="s">
        <v>118</v>
      </c>
      <c r="V91" t="s">
        <v>43</v>
      </c>
      <c r="W91" t="s">
        <v>43</v>
      </c>
      <c r="Y91" t="s">
        <v>411</v>
      </c>
      <c r="Z91" t="s">
        <v>45</v>
      </c>
      <c r="AA91" t="s">
        <v>206</v>
      </c>
      <c r="AB91" t="s">
        <v>43</v>
      </c>
      <c r="AC91" t="s">
        <v>43</v>
      </c>
      <c r="AD91" t="s">
        <v>43</v>
      </c>
      <c r="AE91" t="s">
        <v>43</v>
      </c>
      <c r="AF91" t="str">
        <f>AA91</f>
        <v>Sportplatz an der Erlenbachtalhalle Igersheim, Erlenbachtalstr., 97999 Igersheim-Zentrum</v>
      </c>
      <c r="AG91" t="str">
        <f>TRIM(MID(AF91, FIND(", ", AF91)+2, FIND(", ", AF91, FIND(", ", AF91)+1) - FIND(", ", AF91) - 2))</f>
        <v>Erlenbachtalstr.</v>
      </c>
      <c r="AH91" t="str">
        <f>_xlfn.TEXTBEFORE(_xlfn.TEXTAFTER(AF91, ", ", 2), " ")</f>
        <v>97999</v>
      </c>
      <c r="AI91" t="str">
        <f>_xlfn.TEXTAFTER(_xlfn.TEXTAFTER(AF91, ", ", 2), " ")</f>
        <v>Igersheim-Zentrum</v>
      </c>
    </row>
    <row r="92" spans="1:35" x14ac:dyDescent="0.2">
      <c r="A92" t="str">
        <f>B92&amp;C92&amp;H92&amp;N92</f>
        <v>35000846VfB Bad MergentheimB-Junioren1</v>
      </c>
      <c r="B92" t="s">
        <v>202</v>
      </c>
      <c r="C92" t="s">
        <v>203</v>
      </c>
      <c r="D92" t="s">
        <v>204</v>
      </c>
      <c r="E92" t="s">
        <v>35</v>
      </c>
      <c r="F92" t="s">
        <v>50</v>
      </c>
      <c r="G92">
        <v>3</v>
      </c>
      <c r="H92" t="s">
        <v>355</v>
      </c>
      <c r="I92" t="s">
        <v>114</v>
      </c>
      <c r="J92" t="s">
        <v>371</v>
      </c>
      <c r="K92" t="s">
        <v>410</v>
      </c>
      <c r="L92" t="s">
        <v>1354</v>
      </c>
      <c r="M92">
        <v>7</v>
      </c>
      <c r="N92">
        <v>1</v>
      </c>
      <c r="O92" t="s">
        <v>203</v>
      </c>
      <c r="P92" t="s">
        <v>40</v>
      </c>
      <c r="Q92" t="s">
        <v>40</v>
      </c>
      <c r="R92" t="s">
        <v>41</v>
      </c>
      <c r="U92" t="s">
        <v>118</v>
      </c>
      <c r="V92" t="s">
        <v>43</v>
      </c>
      <c r="W92" t="s">
        <v>43</v>
      </c>
      <c r="Y92" t="s">
        <v>442</v>
      </c>
      <c r="Z92" t="s">
        <v>45</v>
      </c>
      <c r="AA92" t="s">
        <v>443</v>
      </c>
      <c r="AB92" t="s">
        <v>444</v>
      </c>
      <c r="AC92" t="s">
        <v>445</v>
      </c>
      <c r="AD92" t="s">
        <v>43</v>
      </c>
      <c r="AE92" t="s">
        <v>43</v>
      </c>
      <c r="AF92" t="str">
        <f>AC92</f>
        <v>Nebenplatz am Stadion, Arkau 3, 97980 Bad Mergentheim</v>
      </c>
      <c r="AG92" t="str">
        <f>TRIM(MID(AF92, FIND(", ", AF92)+2, FIND(", ", AF92, FIND(", ", AF92)+1) - FIND(", ", AF92) - 2))</f>
        <v>Arkau 3</v>
      </c>
      <c r="AH92" t="str">
        <f>_xlfn.TEXTBEFORE(_xlfn.TEXTAFTER(AF92, ", ", 2), " ")</f>
        <v>97980</v>
      </c>
      <c r="AI92" t="str">
        <f>_xlfn.TEXTAFTER(_xlfn.TEXTAFTER(AF92, ", ", 2), " ")</f>
        <v>Bad Mergentheim</v>
      </c>
    </row>
    <row r="93" spans="1:35" x14ac:dyDescent="0.2">
      <c r="A93" t="str">
        <f>B93&amp;C93&amp;H93&amp;N93</f>
        <v>35000332GSV EibensbachB-Junioren1</v>
      </c>
      <c r="B93" t="s">
        <v>364</v>
      </c>
      <c r="C93" t="s">
        <v>365</v>
      </c>
      <c r="D93" t="s">
        <v>34</v>
      </c>
      <c r="E93" t="s">
        <v>35</v>
      </c>
      <c r="F93" t="s">
        <v>36</v>
      </c>
      <c r="G93">
        <v>3</v>
      </c>
      <c r="H93" t="s">
        <v>355</v>
      </c>
      <c r="I93" t="s">
        <v>70</v>
      </c>
      <c r="J93" t="s">
        <v>361</v>
      </c>
      <c r="K93" t="s">
        <v>1417</v>
      </c>
      <c r="L93" t="s">
        <v>1357</v>
      </c>
      <c r="M93">
        <v>8</v>
      </c>
      <c r="N93">
        <v>1</v>
      </c>
      <c r="O93" t="s">
        <v>366</v>
      </c>
      <c r="P93" t="s">
        <v>40</v>
      </c>
      <c r="Q93" t="s">
        <v>40</v>
      </c>
      <c r="R93" t="s">
        <v>41</v>
      </c>
      <c r="U93" t="s">
        <v>42</v>
      </c>
      <c r="V93" t="s">
        <v>43</v>
      </c>
      <c r="W93" t="s">
        <v>43</v>
      </c>
      <c r="Y93" t="s">
        <v>43</v>
      </c>
      <c r="Z93" t="s">
        <v>45</v>
      </c>
      <c r="AA93" t="s">
        <v>367</v>
      </c>
      <c r="AB93" t="s">
        <v>43</v>
      </c>
      <c r="AC93" t="s">
        <v>43</v>
      </c>
      <c r="AD93" t="s">
        <v>43</v>
      </c>
      <c r="AE93" t="s">
        <v>43</v>
      </c>
      <c r="AF93" t="str">
        <f>AA93</f>
        <v>Eibensbach Rasen 1, Flügelaustraße 29, 74363 Eibensbach</v>
      </c>
      <c r="AG93" t="str">
        <f>TRIM(MID(AF93, FIND(", ", AF93)+2, FIND(", ", AF93, FIND(", ", AF93)+1) - FIND(", ", AF93) - 2))</f>
        <v>Flügelaustraße 29</v>
      </c>
      <c r="AH93" t="str">
        <f>_xlfn.TEXTBEFORE(_xlfn.TEXTAFTER(AF93, ", ", 2), " ")</f>
        <v>74363</v>
      </c>
      <c r="AI93" t="str">
        <f>_xlfn.TEXTAFTER(_xlfn.TEXTAFTER(AF93, ", ", 2), " ")</f>
        <v>Eibensbach</v>
      </c>
    </row>
    <row r="94" spans="1:35" x14ac:dyDescent="0.2">
      <c r="A94" t="str">
        <f>B94&amp;C94&amp;H94&amp;N94</f>
        <v>35000905Neckarsulmer Sport-UnionB-Junioren1</v>
      </c>
      <c r="B94" t="s">
        <v>97</v>
      </c>
      <c r="C94" t="s">
        <v>98</v>
      </c>
      <c r="D94" t="s">
        <v>34</v>
      </c>
      <c r="E94" t="s">
        <v>35</v>
      </c>
      <c r="F94" t="s">
        <v>36</v>
      </c>
      <c r="G94">
        <v>3</v>
      </c>
      <c r="H94" t="s">
        <v>355</v>
      </c>
      <c r="I94" t="s">
        <v>70</v>
      </c>
      <c r="J94" t="s">
        <v>361</v>
      </c>
      <c r="K94" t="s">
        <v>1417</v>
      </c>
      <c r="L94" t="s">
        <v>1357</v>
      </c>
      <c r="M94">
        <v>6</v>
      </c>
      <c r="N94">
        <v>1</v>
      </c>
      <c r="O94" t="s">
        <v>99</v>
      </c>
      <c r="P94" t="s">
        <v>40</v>
      </c>
      <c r="Q94" t="s">
        <v>40</v>
      </c>
      <c r="R94" t="s">
        <v>41</v>
      </c>
      <c r="U94" t="s">
        <v>42</v>
      </c>
      <c r="V94" t="s">
        <v>43</v>
      </c>
      <c r="W94" t="s">
        <v>43</v>
      </c>
      <c r="Y94" t="s">
        <v>43</v>
      </c>
      <c r="Z94" t="s">
        <v>45</v>
      </c>
      <c r="AA94" t="s">
        <v>100</v>
      </c>
      <c r="AB94" t="s">
        <v>43</v>
      </c>
      <c r="AC94" t="s">
        <v>43</v>
      </c>
      <c r="AD94" t="s">
        <v>43</v>
      </c>
      <c r="AE94" t="s">
        <v>43</v>
      </c>
      <c r="AF94" t="str">
        <f>AA94</f>
        <v>Neckarsulm Pichterich Kunstrasen, Pichterichstr. 71, 74172 Neckarsulm-Zentrum</v>
      </c>
      <c r="AG94" t="str">
        <f>TRIM(MID(AF94, FIND(", ", AF94)+2, FIND(", ", AF94, FIND(", ", AF94)+1) - FIND(", ", AF94) - 2))</f>
        <v>Pichterichstr. 71</v>
      </c>
      <c r="AH94" t="str">
        <f>_xlfn.TEXTBEFORE(_xlfn.TEXTAFTER(AF94, ", ", 2), " ")</f>
        <v>74172</v>
      </c>
      <c r="AI94" t="str">
        <f>_xlfn.TEXTAFTER(_xlfn.TEXTAFTER(AF94, ", ", 2), " ")</f>
        <v>Neckarsulm-Zentrum</v>
      </c>
    </row>
    <row r="95" spans="1:35" x14ac:dyDescent="0.2">
      <c r="A95" t="str">
        <f>B95&amp;C95&amp;H95&amp;N95</f>
        <v>35000910Spfr NeckarwestheimB-Junioren1</v>
      </c>
      <c r="B95" t="s">
        <v>68</v>
      </c>
      <c r="C95" t="s">
        <v>69</v>
      </c>
      <c r="D95" t="s">
        <v>34</v>
      </c>
      <c r="E95" t="s">
        <v>35</v>
      </c>
      <c r="F95" t="s">
        <v>36</v>
      </c>
      <c r="G95">
        <v>3</v>
      </c>
      <c r="H95" t="s">
        <v>355</v>
      </c>
      <c r="I95" t="s">
        <v>70</v>
      </c>
      <c r="J95" t="s">
        <v>361</v>
      </c>
      <c r="K95" t="s">
        <v>1417</v>
      </c>
      <c r="L95" t="s">
        <v>1357</v>
      </c>
      <c r="M95">
        <v>2</v>
      </c>
      <c r="N95">
        <v>1</v>
      </c>
      <c r="O95" t="s">
        <v>370</v>
      </c>
      <c r="P95" t="s">
        <v>40</v>
      </c>
      <c r="Q95" t="s">
        <v>40</v>
      </c>
      <c r="R95" t="s">
        <v>41</v>
      </c>
      <c r="U95" t="s">
        <v>42</v>
      </c>
      <c r="V95" t="s">
        <v>43</v>
      </c>
      <c r="W95" t="s">
        <v>43</v>
      </c>
      <c r="Y95" t="s">
        <v>43</v>
      </c>
      <c r="Z95" t="s">
        <v>45</v>
      </c>
      <c r="AA95" t="s">
        <v>74</v>
      </c>
      <c r="AB95" t="s">
        <v>43</v>
      </c>
      <c r="AC95" t="s">
        <v>43</v>
      </c>
      <c r="AD95" t="s">
        <v>43</v>
      </c>
      <c r="AE95" t="s">
        <v>43</v>
      </c>
      <c r="AF95" t="str">
        <f>AA95</f>
        <v>Neckarwestheim Rasen 1, Reblandstr. 31, 74382 Neckarwestheim-Zentrum</v>
      </c>
      <c r="AG95" t="str">
        <f>TRIM(MID(AF95, FIND(", ", AF95)+2, FIND(", ", AF95, FIND(", ", AF95)+1) - FIND(", ", AF95) - 2))</f>
        <v>Reblandstr. 31</v>
      </c>
      <c r="AH95" t="str">
        <f>_xlfn.TEXTBEFORE(_xlfn.TEXTAFTER(AF95, ", ", 2), " ")</f>
        <v>74382</v>
      </c>
      <c r="AI95" t="str">
        <f>_xlfn.TEXTAFTER(_xlfn.TEXTAFTER(AF95, ", ", 2), " ")</f>
        <v>Neckarwestheim-Zentrum</v>
      </c>
    </row>
    <row r="96" spans="1:35" x14ac:dyDescent="0.2">
      <c r="A96" t="str">
        <f>B96&amp;C96&amp;H96&amp;N96</f>
        <v>35001002TSG ÖhringenB-Junioren1</v>
      </c>
      <c r="B96" t="s">
        <v>64</v>
      </c>
      <c r="C96" t="s">
        <v>65</v>
      </c>
      <c r="D96" t="s">
        <v>66</v>
      </c>
      <c r="E96" t="s">
        <v>35</v>
      </c>
      <c r="F96" t="s">
        <v>50</v>
      </c>
      <c r="G96">
        <v>3</v>
      </c>
      <c r="H96" t="s">
        <v>355</v>
      </c>
      <c r="I96" t="s">
        <v>70</v>
      </c>
      <c r="J96" t="s">
        <v>361</v>
      </c>
      <c r="K96" t="s">
        <v>1417</v>
      </c>
      <c r="L96" t="s">
        <v>1357</v>
      </c>
      <c r="M96">
        <v>9</v>
      </c>
      <c r="N96">
        <v>1</v>
      </c>
      <c r="O96" t="s">
        <v>65</v>
      </c>
      <c r="P96" t="s">
        <v>40</v>
      </c>
      <c r="Q96" t="s">
        <v>40</v>
      </c>
      <c r="R96" t="s">
        <v>41</v>
      </c>
      <c r="U96" t="s">
        <v>42</v>
      </c>
      <c r="V96" t="s">
        <v>43</v>
      </c>
      <c r="W96" t="s">
        <v>43</v>
      </c>
      <c r="Y96" t="s">
        <v>43</v>
      </c>
      <c r="Z96" t="s">
        <v>45</v>
      </c>
      <c r="AA96" t="s">
        <v>67</v>
      </c>
      <c r="AB96" t="s">
        <v>43</v>
      </c>
      <c r="AC96" t="s">
        <v>43</v>
      </c>
      <c r="AD96" t="s">
        <v>43</v>
      </c>
      <c r="AE96" t="s">
        <v>43</v>
      </c>
      <c r="AF96" t="str">
        <f>AA96</f>
        <v>Kunstrasenplatz TSG Öhringen, Pfaffenmühlweg 44, 74613 Öhringen-Zentrum</v>
      </c>
      <c r="AG96" t="str">
        <f>TRIM(MID(AF96, FIND(", ", AF96)+2, FIND(", ", AF96, FIND(", ", AF96)+1) - FIND(", ", AF96) - 2))</f>
        <v>Pfaffenmühlweg 44</v>
      </c>
      <c r="AH96" t="str">
        <f>_xlfn.TEXTBEFORE(_xlfn.TEXTAFTER(AF96, ", ", 2), " ")</f>
        <v>74613</v>
      </c>
      <c r="AI96" t="str">
        <f>_xlfn.TEXTAFTER(_xlfn.TEXTAFTER(AF96, ", ", 2), " ")</f>
        <v>Öhringen-Zentrum</v>
      </c>
    </row>
    <row r="97" spans="1:35" x14ac:dyDescent="0.2">
      <c r="A97" t="str">
        <f>B97&amp;C97&amp;H97&amp;N97</f>
        <v>35001710VfR GommersdorfB-Junioren1</v>
      </c>
      <c r="B97" t="s">
        <v>90</v>
      </c>
      <c r="C97" t="s">
        <v>91</v>
      </c>
      <c r="D97" t="s">
        <v>49</v>
      </c>
      <c r="E97" t="s">
        <v>35</v>
      </c>
      <c r="F97" t="s">
        <v>50</v>
      </c>
      <c r="G97">
        <v>3</v>
      </c>
      <c r="H97" t="s">
        <v>355</v>
      </c>
      <c r="I97" t="s">
        <v>70</v>
      </c>
      <c r="J97" t="s">
        <v>361</v>
      </c>
      <c r="K97" t="s">
        <v>1417</v>
      </c>
      <c r="L97" t="s">
        <v>1357</v>
      </c>
      <c r="M97">
        <v>1</v>
      </c>
      <c r="N97">
        <v>1</v>
      </c>
      <c r="O97" t="s">
        <v>92</v>
      </c>
      <c r="P97" t="s">
        <v>40</v>
      </c>
      <c r="Q97" t="s">
        <v>40</v>
      </c>
      <c r="R97" t="s">
        <v>41</v>
      </c>
      <c r="U97" t="s">
        <v>42</v>
      </c>
      <c r="V97" t="s">
        <v>43</v>
      </c>
      <c r="W97" t="s">
        <v>43</v>
      </c>
      <c r="Y97" t="s">
        <v>368</v>
      </c>
      <c r="Z97" t="s">
        <v>45</v>
      </c>
      <c r="AA97" t="s">
        <v>369</v>
      </c>
      <c r="AB97" t="s">
        <v>43</v>
      </c>
      <c r="AC97" t="s">
        <v>43</v>
      </c>
      <c r="AD97" t="s">
        <v>43</v>
      </c>
      <c r="AE97" t="s">
        <v>43</v>
      </c>
      <c r="AF97" t="str">
        <f>AA97</f>
        <v>Sportplatz 1 in Klepsau, Laibacher Str., 74238 Krautheim-Klepsau</v>
      </c>
      <c r="AG97" t="str">
        <f>TRIM(MID(AF97, FIND(", ", AF97)+2, FIND(", ", AF97, FIND(", ", AF97)+1) - FIND(", ", AF97) - 2))</f>
        <v>Laibacher Str.</v>
      </c>
      <c r="AH97" t="str">
        <f>_xlfn.TEXTBEFORE(_xlfn.TEXTAFTER(AF97, ", ", 2), " ")</f>
        <v>74238</v>
      </c>
      <c r="AI97" t="str">
        <f>_xlfn.TEXTAFTER(_xlfn.TEXTAFTER(AF97, ", ", 2), " ")</f>
        <v>Krautheim-Klepsau</v>
      </c>
    </row>
    <row r="98" spans="1:35" x14ac:dyDescent="0.2">
      <c r="A98" t="str">
        <f>B98&amp;C98&amp;H98&amp;N98</f>
        <v>35000238TSV CrailsheimB-Junioren1</v>
      </c>
      <c r="B98" t="s">
        <v>207</v>
      </c>
      <c r="C98" t="s">
        <v>208</v>
      </c>
      <c r="D98" t="s">
        <v>103</v>
      </c>
      <c r="E98" t="s">
        <v>35</v>
      </c>
      <c r="F98" t="s">
        <v>50</v>
      </c>
      <c r="G98">
        <v>12</v>
      </c>
      <c r="H98" t="s">
        <v>355</v>
      </c>
      <c r="I98" t="s">
        <v>70</v>
      </c>
      <c r="J98" t="s">
        <v>361</v>
      </c>
      <c r="K98" t="s">
        <v>1417</v>
      </c>
      <c r="L98" t="s">
        <v>1357</v>
      </c>
      <c r="M98">
        <v>4</v>
      </c>
      <c r="N98">
        <v>1</v>
      </c>
      <c r="O98" t="s">
        <v>208</v>
      </c>
      <c r="P98" t="s">
        <v>40</v>
      </c>
      <c r="Q98" t="s">
        <v>40</v>
      </c>
      <c r="R98" t="s">
        <v>41</v>
      </c>
      <c r="U98" t="s">
        <v>42</v>
      </c>
      <c r="V98" t="s">
        <v>43</v>
      </c>
      <c r="W98" t="s">
        <v>43</v>
      </c>
      <c r="Y98" t="s">
        <v>209</v>
      </c>
      <c r="Z98" t="s">
        <v>45</v>
      </c>
      <c r="AA98" t="s">
        <v>210</v>
      </c>
      <c r="AB98" t="s">
        <v>43</v>
      </c>
      <c r="AC98" t="s">
        <v>43</v>
      </c>
      <c r="AD98" t="s">
        <v>43</v>
      </c>
      <c r="AE98" t="s">
        <v>43</v>
      </c>
      <c r="AF98" t="str">
        <f>AA98</f>
        <v>Kunstrasenplatz am Volksfestplatz, Schönebürgstr., 74564 Crailsheim</v>
      </c>
      <c r="AG98" t="str">
        <f>TRIM(MID(AF98, FIND(", ", AF98)+2, FIND(", ", AF98, FIND(", ", AF98)+1) - FIND(", ", AF98) - 2))</f>
        <v>Schönebürgstr.</v>
      </c>
      <c r="AH98" t="str">
        <f>_xlfn.TEXTBEFORE(_xlfn.TEXTAFTER(AF98, ", ", 2), " ")</f>
        <v>74564</v>
      </c>
      <c r="AI98" t="str">
        <f>_xlfn.TEXTAFTER(_xlfn.TEXTAFTER(AF98, ", ", 2), " ")</f>
        <v>Crailsheim</v>
      </c>
    </row>
    <row r="99" spans="1:35" x14ac:dyDescent="0.2">
      <c r="A99" t="str">
        <f>B99&amp;C99&amp;H99&amp;N99</f>
        <v>35000493SpVgg Gröningen-SatteldorfB-Junioren1</v>
      </c>
      <c r="B99" t="s">
        <v>101</v>
      </c>
      <c r="C99" t="s">
        <v>102</v>
      </c>
      <c r="D99" t="s">
        <v>103</v>
      </c>
      <c r="E99" t="s">
        <v>35</v>
      </c>
      <c r="F99" t="s">
        <v>50</v>
      </c>
      <c r="G99">
        <v>12</v>
      </c>
      <c r="H99" t="s">
        <v>355</v>
      </c>
      <c r="I99" t="s">
        <v>70</v>
      </c>
      <c r="J99" t="s">
        <v>361</v>
      </c>
      <c r="K99" t="s">
        <v>1417</v>
      </c>
      <c r="L99" t="s">
        <v>1357</v>
      </c>
      <c r="M99">
        <v>7</v>
      </c>
      <c r="N99">
        <v>1</v>
      </c>
      <c r="O99" t="s">
        <v>104</v>
      </c>
      <c r="P99" t="s">
        <v>40</v>
      </c>
      <c r="Q99" t="s">
        <v>40</v>
      </c>
      <c r="R99" t="s">
        <v>41</v>
      </c>
      <c r="U99" t="s">
        <v>42</v>
      </c>
      <c r="V99" t="s">
        <v>43</v>
      </c>
      <c r="W99" t="s">
        <v>43</v>
      </c>
      <c r="Y99" t="s">
        <v>43</v>
      </c>
      <c r="Z99" t="s">
        <v>45</v>
      </c>
      <c r="AA99" t="s">
        <v>105</v>
      </c>
      <c r="AB99" t="s">
        <v>43</v>
      </c>
      <c r="AC99" t="s">
        <v>43</v>
      </c>
      <c r="AD99" t="s">
        <v>43</v>
      </c>
      <c r="AE99" t="s">
        <v>43</v>
      </c>
      <c r="AF99" t="str">
        <f>AA99</f>
        <v>Kunstrasenplatz (Platz 3)  SpVgg Satteldorf, Kernmühlenweg, 74589 Satteldorf-Neidenfels</v>
      </c>
      <c r="AG99" t="str">
        <f>TRIM(MID(AF99, FIND(", ", AF99)+2, FIND(", ", AF99, FIND(", ", AF99)+1) - FIND(", ", AF99) - 2))</f>
        <v>Kernmühlenweg</v>
      </c>
      <c r="AH99" t="str">
        <f>_xlfn.TEXTBEFORE(_xlfn.TEXTAFTER(AF99, ", ", 2), " ")</f>
        <v>74589</v>
      </c>
      <c r="AI99" t="str">
        <f>_xlfn.TEXTAFTER(_xlfn.TEXTAFTER(AF99, ", ", 2), " ")</f>
        <v>Satteldorf-Neidenfels</v>
      </c>
    </row>
    <row r="100" spans="1:35" x14ac:dyDescent="0.2">
      <c r="A100" t="str">
        <f>B100&amp;C100&amp;H100&amp;N100</f>
        <v>35000224Spfr DJK BühlerzellB-Junioren1</v>
      </c>
      <c r="B100" t="s">
        <v>276</v>
      </c>
      <c r="C100" t="s">
        <v>277</v>
      </c>
      <c r="D100" t="s">
        <v>58</v>
      </c>
      <c r="E100" t="s">
        <v>35</v>
      </c>
      <c r="F100" t="s">
        <v>50</v>
      </c>
      <c r="G100">
        <v>12</v>
      </c>
      <c r="H100" t="s">
        <v>355</v>
      </c>
      <c r="I100" t="s">
        <v>70</v>
      </c>
      <c r="J100" t="s">
        <v>361</v>
      </c>
      <c r="K100" t="s">
        <v>1417</v>
      </c>
      <c r="L100" t="s">
        <v>1357</v>
      </c>
      <c r="M100">
        <v>5</v>
      </c>
      <c r="N100">
        <v>1</v>
      </c>
      <c r="O100" t="s">
        <v>362</v>
      </c>
      <c r="P100" t="s">
        <v>40</v>
      </c>
      <c r="Q100" t="s">
        <v>40</v>
      </c>
      <c r="R100" t="s">
        <v>41</v>
      </c>
      <c r="U100" t="s">
        <v>42</v>
      </c>
      <c r="V100" t="s">
        <v>43</v>
      </c>
      <c r="W100" t="s">
        <v>43</v>
      </c>
      <c r="Y100" t="s">
        <v>363</v>
      </c>
      <c r="Z100" t="s">
        <v>45</v>
      </c>
      <c r="AA100" t="s">
        <v>281</v>
      </c>
      <c r="AB100" t="s">
        <v>43</v>
      </c>
      <c r="AC100" t="s">
        <v>43</v>
      </c>
      <c r="AD100" t="s">
        <v>43</v>
      </c>
      <c r="AE100" t="s">
        <v>43</v>
      </c>
      <c r="AF100" t="str">
        <f>AA100</f>
        <v>Sportplatz 1 Bühlerzell, Am Schäufelfeld 20, 74426 Bühlerzell</v>
      </c>
      <c r="AG100" t="str">
        <f>TRIM(MID(AF100, FIND(", ", AF100)+2, FIND(", ", AF100, FIND(", ", AF100)+1) - FIND(", ", AF100) - 2))</f>
        <v>Am Schäufelfeld 20</v>
      </c>
      <c r="AH100" t="str">
        <f>_xlfn.TEXTBEFORE(_xlfn.TEXTAFTER(AF100, ", ", 2), " ")</f>
        <v>74426</v>
      </c>
      <c r="AI100" t="str">
        <f>_xlfn.TEXTAFTER(_xlfn.TEXTAFTER(AF100, ", ", 2), " ")</f>
        <v>Bühlerzell</v>
      </c>
    </row>
    <row r="101" spans="1:35" x14ac:dyDescent="0.2">
      <c r="A101" t="str">
        <f>B101&amp;C101&amp;H101&amp;N101</f>
        <v>35000533Spfr Schwäbisch HallB-Junioren1</v>
      </c>
      <c r="B101" t="s">
        <v>56</v>
      </c>
      <c r="C101" t="s">
        <v>57</v>
      </c>
      <c r="D101" t="s">
        <v>58</v>
      </c>
      <c r="E101" t="s">
        <v>35</v>
      </c>
      <c r="F101" t="s">
        <v>50</v>
      </c>
      <c r="G101">
        <v>12</v>
      </c>
      <c r="H101" t="s">
        <v>355</v>
      </c>
      <c r="I101" t="s">
        <v>70</v>
      </c>
      <c r="J101" t="s">
        <v>361</v>
      </c>
      <c r="K101" t="s">
        <v>1417</v>
      </c>
      <c r="L101" t="s">
        <v>1357</v>
      </c>
      <c r="M101">
        <v>10</v>
      </c>
      <c r="N101">
        <v>1</v>
      </c>
      <c r="O101" t="s">
        <v>57</v>
      </c>
      <c r="P101" t="s">
        <v>40</v>
      </c>
      <c r="Q101" t="s">
        <v>40</v>
      </c>
      <c r="R101" t="s">
        <v>41</v>
      </c>
      <c r="U101" t="s">
        <v>42</v>
      </c>
      <c r="V101" t="s">
        <v>43</v>
      </c>
      <c r="W101" t="s">
        <v>43</v>
      </c>
      <c r="Y101" t="s">
        <v>43</v>
      </c>
      <c r="Z101" t="s">
        <v>45</v>
      </c>
      <c r="AA101" t="s">
        <v>59</v>
      </c>
      <c r="AB101" t="s">
        <v>43</v>
      </c>
      <c r="AC101" t="s">
        <v>43</v>
      </c>
      <c r="AD101" t="s">
        <v>43</v>
      </c>
      <c r="AE101" t="s">
        <v>43</v>
      </c>
      <c r="AF101" t="str">
        <f>AA101</f>
        <v>Kunstrasenplatz am Schenkenseestadion, Schenkenseestr., 74523 Schwäbisch Hall</v>
      </c>
      <c r="AG101" t="str">
        <f>TRIM(MID(AF101, FIND(", ", AF101)+2, FIND(", ", AF101, FIND(", ", AF101)+1) - FIND(", ", AF101) - 2))</f>
        <v>Schenkenseestr.</v>
      </c>
      <c r="AH101" t="str">
        <f>_xlfn.TEXTBEFORE(_xlfn.TEXTAFTER(AF101, ", ", 2), " ")</f>
        <v>74523</v>
      </c>
      <c r="AI101" t="str">
        <f>_xlfn.TEXTAFTER(_xlfn.TEXTAFTER(AF101, ", ", 2), " ")</f>
        <v>Schwäbisch Hall</v>
      </c>
    </row>
    <row r="102" spans="1:35" x14ac:dyDescent="0.2">
      <c r="A102" t="str">
        <f>B102&amp;C102&amp;H102&amp;N102</f>
        <v>35000187TG BöckingenB-Junioren1</v>
      </c>
      <c r="B102" t="s">
        <v>229</v>
      </c>
      <c r="C102" t="s">
        <v>230</v>
      </c>
      <c r="D102" t="s">
        <v>34</v>
      </c>
      <c r="E102" t="s">
        <v>35</v>
      </c>
      <c r="F102" t="s">
        <v>36</v>
      </c>
      <c r="G102">
        <v>3</v>
      </c>
      <c r="H102" t="s">
        <v>355</v>
      </c>
      <c r="I102" t="s">
        <v>114</v>
      </c>
      <c r="J102" t="s">
        <v>446</v>
      </c>
      <c r="K102" t="s">
        <v>447</v>
      </c>
      <c r="L102" t="s">
        <v>1347</v>
      </c>
      <c r="M102">
        <v>4</v>
      </c>
      <c r="N102">
        <v>1</v>
      </c>
      <c r="O102" t="s">
        <v>230</v>
      </c>
      <c r="P102" t="s">
        <v>40</v>
      </c>
      <c r="Q102" t="s">
        <v>40</v>
      </c>
      <c r="R102" t="s">
        <v>41</v>
      </c>
      <c r="U102" t="s">
        <v>118</v>
      </c>
      <c r="V102" t="s">
        <v>43</v>
      </c>
      <c r="W102" t="s">
        <v>43</v>
      </c>
      <c r="Y102" t="s">
        <v>464</v>
      </c>
      <c r="Z102" t="s">
        <v>45</v>
      </c>
      <c r="AA102" t="s">
        <v>231</v>
      </c>
      <c r="AB102" t="s">
        <v>43</v>
      </c>
      <c r="AC102" t="s">
        <v>43</v>
      </c>
      <c r="AD102" t="s">
        <v>43</v>
      </c>
      <c r="AE102" t="s">
        <v>43</v>
      </c>
      <c r="AF102" t="str">
        <f>AA102</f>
        <v>Böckingen (TG) Viehweide Kunstrasen, Viehweide 20, 74080 Heilbronn-Böckingen</v>
      </c>
      <c r="AG102" t="str">
        <f>TRIM(MID(AF102, FIND(", ", AF102)+2, FIND(", ", AF102, FIND(", ", AF102)+1) - FIND(", ", AF102) - 2))</f>
        <v>Viehweide 20</v>
      </c>
      <c r="AH102" t="str">
        <f>_xlfn.TEXTBEFORE(_xlfn.TEXTAFTER(AF102, ", ", 2), " ")</f>
        <v>74080</v>
      </c>
      <c r="AI102" t="str">
        <f>_xlfn.TEXTAFTER(_xlfn.TEXTAFTER(AF102, ", ", 2), " ")</f>
        <v>Heilbronn-Böckingen</v>
      </c>
    </row>
    <row r="103" spans="1:35" x14ac:dyDescent="0.2">
      <c r="A103" t="str">
        <f>B103&amp;C103&amp;H103&amp;N103</f>
        <v>35000311VfL EberstadtB-Junioren1</v>
      </c>
      <c r="B103" t="s">
        <v>458</v>
      </c>
      <c r="C103" t="s">
        <v>459</v>
      </c>
      <c r="D103" t="s">
        <v>34</v>
      </c>
      <c r="E103" t="s">
        <v>35</v>
      </c>
      <c r="F103" t="s">
        <v>36</v>
      </c>
      <c r="G103">
        <v>3</v>
      </c>
      <c r="H103" t="s">
        <v>355</v>
      </c>
      <c r="I103" t="s">
        <v>114</v>
      </c>
      <c r="J103" t="s">
        <v>446</v>
      </c>
      <c r="K103" t="s">
        <v>447</v>
      </c>
      <c r="L103" t="s">
        <v>1347</v>
      </c>
      <c r="M103">
        <v>6</v>
      </c>
      <c r="N103">
        <v>1</v>
      </c>
      <c r="O103" t="s">
        <v>460</v>
      </c>
      <c r="P103" t="s">
        <v>40</v>
      </c>
      <c r="Q103" t="s">
        <v>40</v>
      </c>
      <c r="R103" t="s">
        <v>41</v>
      </c>
      <c r="U103" t="s">
        <v>118</v>
      </c>
      <c r="V103" t="s">
        <v>43</v>
      </c>
      <c r="W103" t="s">
        <v>43</v>
      </c>
      <c r="Y103" t="s">
        <v>43</v>
      </c>
      <c r="Z103" t="s">
        <v>45</v>
      </c>
      <c r="AA103" t="s">
        <v>461</v>
      </c>
      <c r="AB103" t="s">
        <v>43</v>
      </c>
      <c r="AC103" t="s">
        <v>43</v>
      </c>
      <c r="AD103" t="s">
        <v>43</v>
      </c>
      <c r="AE103" t="s">
        <v>43</v>
      </c>
      <c r="AF103" t="str">
        <f>AA103</f>
        <v>Eberstadt Rasen 1, Am Schmalbach, 74246 Eberstadt</v>
      </c>
      <c r="AG103" t="str">
        <f>TRIM(MID(AF103, FIND(", ", AF103)+2, FIND(", ", AF103, FIND(", ", AF103)+1) - FIND(", ", AF103) - 2))</f>
        <v>Am Schmalbach</v>
      </c>
      <c r="AH103" t="str">
        <f>_xlfn.TEXTBEFORE(_xlfn.TEXTAFTER(AF103, ", ", 2), " ")</f>
        <v>74246</v>
      </c>
      <c r="AI103" t="str">
        <f>_xlfn.TEXTAFTER(_xlfn.TEXTAFTER(AF103, ", ", 2), " ")</f>
        <v>Eberstadt</v>
      </c>
    </row>
    <row r="104" spans="1:35" x14ac:dyDescent="0.2">
      <c r="A104" t="str">
        <f>B104&amp;C104&amp;H104&amp;N104</f>
        <v>35000340TSV Ellhofen (Franken)B-Junioren1</v>
      </c>
      <c r="B104" t="s">
        <v>247</v>
      </c>
      <c r="C104" t="s">
        <v>248</v>
      </c>
      <c r="D104" t="s">
        <v>34</v>
      </c>
      <c r="E104" t="s">
        <v>35</v>
      </c>
      <c r="F104" t="s">
        <v>36</v>
      </c>
      <c r="G104">
        <v>3</v>
      </c>
      <c r="H104" t="s">
        <v>355</v>
      </c>
      <c r="I104" t="s">
        <v>114</v>
      </c>
      <c r="J104" t="s">
        <v>446</v>
      </c>
      <c r="K104" t="s">
        <v>447</v>
      </c>
      <c r="L104" t="s">
        <v>1347</v>
      </c>
      <c r="M104">
        <v>5</v>
      </c>
      <c r="N104">
        <v>1</v>
      </c>
      <c r="O104" t="s">
        <v>450</v>
      </c>
      <c r="P104" t="s">
        <v>40</v>
      </c>
      <c r="Q104" t="s">
        <v>40</v>
      </c>
      <c r="R104" t="s">
        <v>41</v>
      </c>
      <c r="U104" t="s">
        <v>118</v>
      </c>
      <c r="V104" t="s">
        <v>43</v>
      </c>
      <c r="W104" t="s">
        <v>43</v>
      </c>
      <c r="Y104" t="s">
        <v>451</v>
      </c>
      <c r="Z104" t="s">
        <v>45</v>
      </c>
      <c r="AA104" t="s">
        <v>452</v>
      </c>
      <c r="AB104" t="s">
        <v>43</v>
      </c>
      <c r="AC104" t="s">
        <v>43</v>
      </c>
      <c r="AD104" t="s">
        <v>43</v>
      </c>
      <c r="AE104" t="s">
        <v>43</v>
      </c>
      <c r="AF104" t="str">
        <f>AA104</f>
        <v>Löwenstein Rasen 1, Seemühle, 74245 Löwenstein-Seemühle</v>
      </c>
      <c r="AG104" t="str">
        <f>TRIM(MID(AF104, FIND(", ", AF104)+2, FIND(", ", AF104, FIND(", ", AF104)+1) - FIND(", ", AF104) - 2))</f>
        <v>Seemühle</v>
      </c>
      <c r="AH104" t="str">
        <f>_xlfn.TEXTBEFORE(_xlfn.TEXTAFTER(AF104, ", ", 2), " ")</f>
        <v>74245</v>
      </c>
      <c r="AI104" t="str">
        <f>_xlfn.TEXTAFTER(_xlfn.TEXTAFTER(AF104, ", ", 2), " ")</f>
        <v>Löwenstein-Seemühle</v>
      </c>
    </row>
    <row r="105" spans="1:35" x14ac:dyDescent="0.2">
      <c r="A105" t="str">
        <f>B105&amp;C105&amp;H105&amp;N105</f>
        <v>35000404TV FleinB-Junioren1</v>
      </c>
      <c r="B105" t="s">
        <v>109</v>
      </c>
      <c r="C105" t="s">
        <v>110</v>
      </c>
      <c r="D105" t="s">
        <v>34</v>
      </c>
      <c r="E105" t="s">
        <v>35</v>
      </c>
      <c r="F105" t="s">
        <v>36</v>
      </c>
      <c r="G105">
        <v>3</v>
      </c>
      <c r="H105" t="s">
        <v>355</v>
      </c>
      <c r="I105" s="6" t="s">
        <v>114</v>
      </c>
      <c r="J105" t="s">
        <v>446</v>
      </c>
      <c r="K105" t="s">
        <v>447</v>
      </c>
      <c r="L105" t="s">
        <v>1347</v>
      </c>
      <c r="M105">
        <v>1</v>
      </c>
      <c r="N105">
        <v>1</v>
      </c>
      <c r="O105" t="s">
        <v>110</v>
      </c>
      <c r="P105" t="s">
        <v>40</v>
      </c>
      <c r="Q105" t="s">
        <v>40</v>
      </c>
      <c r="R105" t="s">
        <v>41</v>
      </c>
      <c r="U105" t="s">
        <v>42</v>
      </c>
      <c r="V105" t="s">
        <v>43</v>
      </c>
      <c r="W105" t="s">
        <v>43</v>
      </c>
      <c r="Y105" t="s">
        <v>466</v>
      </c>
      <c r="Z105" t="s">
        <v>45</v>
      </c>
      <c r="AA105" t="s">
        <v>111</v>
      </c>
      <c r="AB105" t="s">
        <v>43</v>
      </c>
      <c r="AC105" t="s">
        <v>43</v>
      </c>
      <c r="AD105" t="s">
        <v>43</v>
      </c>
      <c r="AE105" t="s">
        <v>43</v>
      </c>
      <c r="AF105" t="str">
        <f>AA105</f>
        <v>Flein Rasen (Stadion), Talheimer Str. 1, 74223 Flein-Zentrum</v>
      </c>
      <c r="AG105" t="str">
        <f>TRIM(MID(AF105, FIND(", ", AF105)+2, FIND(", ", AF105, FIND(", ", AF105)+1) - FIND(", ", AF105) - 2))</f>
        <v>Talheimer Str. 1</v>
      </c>
      <c r="AH105" t="str">
        <f>_xlfn.TEXTBEFORE(_xlfn.TEXTAFTER(AF105, ", ", 2), " ")</f>
        <v>74223</v>
      </c>
      <c r="AI105" t="str">
        <f>_xlfn.TEXTAFTER(_xlfn.TEXTAFTER(AF105, ", ", 2), " ")</f>
        <v>Flein-Zentrum</v>
      </c>
    </row>
    <row r="106" spans="1:35" x14ac:dyDescent="0.2">
      <c r="A106" t="str">
        <f>B106&amp;C106&amp;H106&amp;N106</f>
        <v>35000910Spfr NeckarwestheimB-Junioren2</v>
      </c>
      <c r="B106" t="s">
        <v>68</v>
      </c>
      <c r="C106" t="s">
        <v>69</v>
      </c>
      <c r="D106" t="s">
        <v>34</v>
      </c>
      <c r="E106" t="s">
        <v>35</v>
      </c>
      <c r="F106" t="s">
        <v>36</v>
      </c>
      <c r="G106">
        <v>3</v>
      </c>
      <c r="H106" t="s">
        <v>355</v>
      </c>
      <c r="I106" t="s">
        <v>114</v>
      </c>
      <c r="J106" t="s">
        <v>446</v>
      </c>
      <c r="K106" t="s">
        <v>447</v>
      </c>
      <c r="L106" t="s">
        <v>1347</v>
      </c>
      <c r="M106">
        <v>7</v>
      </c>
      <c r="N106">
        <v>2</v>
      </c>
      <c r="O106" t="s">
        <v>462</v>
      </c>
      <c r="P106" t="s">
        <v>40</v>
      </c>
      <c r="Q106" t="s">
        <v>40</v>
      </c>
      <c r="R106" t="s">
        <v>41</v>
      </c>
      <c r="U106" t="s">
        <v>118</v>
      </c>
      <c r="V106" t="s">
        <v>43</v>
      </c>
      <c r="W106" t="s">
        <v>43</v>
      </c>
      <c r="Y106" t="s">
        <v>463</v>
      </c>
      <c r="Z106" t="s">
        <v>45</v>
      </c>
      <c r="AA106" t="s">
        <v>74</v>
      </c>
      <c r="AB106" t="s">
        <v>43</v>
      </c>
      <c r="AC106" t="s">
        <v>43</v>
      </c>
      <c r="AD106" t="s">
        <v>43</v>
      </c>
      <c r="AE106" t="s">
        <v>43</v>
      </c>
      <c r="AF106" t="str">
        <f>AA106</f>
        <v>Neckarwestheim Rasen 1, Reblandstr. 31, 74382 Neckarwestheim-Zentrum</v>
      </c>
      <c r="AG106" t="str">
        <f>TRIM(MID(AF106, FIND(", ", AF106)+2, FIND(", ", AF106, FIND(", ", AF106)+1) - FIND(", ", AF106) - 2))</f>
        <v>Reblandstr. 31</v>
      </c>
      <c r="AH106" t="str">
        <f>_xlfn.TEXTBEFORE(_xlfn.TEXTAFTER(AF106, ", ", 2), " ")</f>
        <v>74382</v>
      </c>
      <c r="AI106" t="str">
        <f>_xlfn.TEXTAFTER(_xlfn.TEXTAFTER(AF106, ", ", 2), " ")</f>
        <v>Neckarwestheim-Zentrum</v>
      </c>
    </row>
    <row r="107" spans="1:35" x14ac:dyDescent="0.2">
      <c r="A107" t="str">
        <f>B107&amp;C107&amp;H107&amp;N107</f>
        <v>35001490TSV WeinsbergB-Junioren1</v>
      </c>
      <c r="B107" t="s">
        <v>235</v>
      </c>
      <c r="C107" t="s">
        <v>236</v>
      </c>
      <c r="D107" t="s">
        <v>34</v>
      </c>
      <c r="E107" t="s">
        <v>35</v>
      </c>
      <c r="F107" t="s">
        <v>36</v>
      </c>
      <c r="G107">
        <v>3</v>
      </c>
      <c r="H107" t="s">
        <v>355</v>
      </c>
      <c r="I107" t="s">
        <v>114</v>
      </c>
      <c r="J107" t="s">
        <v>446</v>
      </c>
      <c r="K107" t="s">
        <v>447</v>
      </c>
      <c r="L107" t="s">
        <v>1347</v>
      </c>
      <c r="M107">
        <v>9</v>
      </c>
      <c r="N107">
        <v>1</v>
      </c>
      <c r="O107" t="s">
        <v>236</v>
      </c>
      <c r="P107" t="s">
        <v>40</v>
      </c>
      <c r="Q107" t="s">
        <v>40</v>
      </c>
      <c r="R107" t="s">
        <v>41</v>
      </c>
      <c r="U107" t="s">
        <v>118</v>
      </c>
      <c r="V107" t="s">
        <v>43</v>
      </c>
      <c r="W107" t="s">
        <v>43</v>
      </c>
      <c r="Y107" t="s">
        <v>43</v>
      </c>
      <c r="Z107" t="s">
        <v>45</v>
      </c>
      <c r="AA107" t="s">
        <v>465</v>
      </c>
      <c r="AB107" t="s">
        <v>43</v>
      </c>
      <c r="AC107" t="s">
        <v>43</v>
      </c>
      <c r="AD107" t="s">
        <v>43</v>
      </c>
      <c r="AE107" t="s">
        <v>43</v>
      </c>
      <c r="AF107" t="str">
        <f>AA107</f>
        <v>Weinsberg Rasen 1, Rappenhofweg, 74189 Weinsberg-Zentrum</v>
      </c>
      <c r="AG107" t="str">
        <f>TRIM(MID(AF107, FIND(", ", AF107)+2, FIND(", ", AF107, FIND(", ", AF107)+1) - FIND(", ", AF107) - 2))</f>
        <v>Rappenhofweg</v>
      </c>
      <c r="AH107" t="str">
        <f>_xlfn.TEXTBEFORE(_xlfn.TEXTAFTER(AF107, ", ", 2), " ")</f>
        <v>74189</v>
      </c>
      <c r="AI107" t="str">
        <f>_xlfn.TEXTAFTER(_xlfn.TEXTAFTER(AF107, ", ", 2), " ")</f>
        <v>Weinsberg-Zentrum</v>
      </c>
    </row>
    <row r="108" spans="1:35" x14ac:dyDescent="0.2">
      <c r="A108" t="str">
        <f>B108&amp;C108&amp;H108&amp;N108</f>
        <v>35002168TSG HeilbronnB-Junioren1</v>
      </c>
      <c r="B108" t="s">
        <v>349</v>
      </c>
      <c r="C108" t="s">
        <v>350</v>
      </c>
      <c r="D108" t="s">
        <v>34</v>
      </c>
      <c r="E108" t="s">
        <v>35</v>
      </c>
      <c r="F108" t="s">
        <v>36</v>
      </c>
      <c r="G108">
        <v>3</v>
      </c>
      <c r="H108" t="s">
        <v>355</v>
      </c>
      <c r="I108" t="s">
        <v>114</v>
      </c>
      <c r="J108" t="s">
        <v>446</v>
      </c>
      <c r="K108" t="s">
        <v>447</v>
      </c>
      <c r="L108" t="s">
        <v>1347</v>
      </c>
      <c r="M108">
        <v>10</v>
      </c>
      <c r="N108">
        <v>1</v>
      </c>
      <c r="O108" t="s">
        <v>350</v>
      </c>
      <c r="P108" t="s">
        <v>40</v>
      </c>
      <c r="Q108" t="s">
        <v>40</v>
      </c>
      <c r="R108" t="s">
        <v>41</v>
      </c>
      <c r="U108" t="s">
        <v>118</v>
      </c>
      <c r="V108" t="s">
        <v>43</v>
      </c>
      <c r="W108" t="s">
        <v>43</v>
      </c>
      <c r="Y108" t="s">
        <v>43</v>
      </c>
      <c r="Z108" t="s">
        <v>45</v>
      </c>
      <c r="AA108" t="s">
        <v>351</v>
      </c>
      <c r="AB108" t="s">
        <v>43</v>
      </c>
      <c r="AC108" t="s">
        <v>43</v>
      </c>
      <c r="AD108" t="s">
        <v>43</v>
      </c>
      <c r="AE108" t="s">
        <v>43</v>
      </c>
      <c r="AF108" t="str">
        <f>AA108</f>
        <v>Wertwiesen (TSG) Rasen 1, Wertwiesen 8, 74081 Heilbronn-Sontheim</v>
      </c>
      <c r="AG108" t="str">
        <f>TRIM(MID(AF108, FIND(", ", AF108)+2, FIND(", ", AF108, FIND(", ", AF108)+1) - FIND(", ", AF108) - 2))</f>
        <v>Wertwiesen 8</v>
      </c>
      <c r="AH108" t="str">
        <f>_xlfn.TEXTBEFORE(_xlfn.TEXTAFTER(AF108, ", ", 2), " ")</f>
        <v>74081</v>
      </c>
      <c r="AI108" t="str">
        <f>_xlfn.TEXTAFTER(_xlfn.TEXTAFTER(AF108, ", ", 2), " ")</f>
        <v>Heilbronn-Sontheim</v>
      </c>
    </row>
    <row r="109" spans="1:35" x14ac:dyDescent="0.2">
      <c r="A109" t="str">
        <f>B109&amp;C109&amp;H109&amp;N109</f>
        <v>35000921TSV NeudenauB-Junioren1</v>
      </c>
      <c r="B109" t="s">
        <v>453</v>
      </c>
      <c r="C109" t="s">
        <v>454</v>
      </c>
      <c r="D109" t="s">
        <v>77</v>
      </c>
      <c r="E109" t="s">
        <v>35</v>
      </c>
      <c r="F109" t="s">
        <v>36</v>
      </c>
      <c r="G109">
        <v>3</v>
      </c>
      <c r="H109" t="s">
        <v>355</v>
      </c>
      <c r="I109" t="s">
        <v>114</v>
      </c>
      <c r="J109" t="s">
        <v>446</v>
      </c>
      <c r="K109" t="s">
        <v>447</v>
      </c>
      <c r="L109" t="s">
        <v>1347</v>
      </c>
      <c r="M109">
        <v>8</v>
      </c>
      <c r="N109">
        <v>1</v>
      </c>
      <c r="O109" t="s">
        <v>455</v>
      </c>
      <c r="P109" t="s">
        <v>40</v>
      </c>
      <c r="Q109" t="s">
        <v>40</v>
      </c>
      <c r="R109" t="s">
        <v>41</v>
      </c>
      <c r="U109" t="s">
        <v>118</v>
      </c>
      <c r="V109" t="s">
        <v>43</v>
      </c>
      <c r="W109" t="s">
        <v>43</v>
      </c>
      <c r="Y109" t="s">
        <v>456</v>
      </c>
      <c r="Z109" t="s">
        <v>45</v>
      </c>
      <c r="AA109" t="s">
        <v>457</v>
      </c>
      <c r="AB109" t="s">
        <v>43</v>
      </c>
      <c r="AC109" t="s">
        <v>43</v>
      </c>
      <c r="AD109" t="s">
        <v>43</v>
      </c>
      <c r="AE109" t="s">
        <v>43</v>
      </c>
      <c r="AF109" t="str">
        <f>AA109</f>
        <v>Siglingen Rasen 1, Züttlinger Str., 74861 Neudenau-Siglingen</v>
      </c>
      <c r="AG109" t="str">
        <f>TRIM(MID(AF109, FIND(", ", AF109)+2, FIND(", ", AF109, FIND(", ", AF109)+1) - FIND(", ", AF109) - 2))</f>
        <v>Züttlinger Str.</v>
      </c>
      <c r="AH109" t="str">
        <f>_xlfn.TEXTBEFORE(_xlfn.TEXTAFTER(AF109, ", ", 2), " ")</f>
        <v>74861</v>
      </c>
      <c r="AI109" t="str">
        <f>_xlfn.TEXTAFTER(_xlfn.TEXTAFTER(AF109, ", ", 2), " ")</f>
        <v>Neudenau-Siglingen</v>
      </c>
    </row>
    <row r="110" spans="1:35" x14ac:dyDescent="0.2">
      <c r="A110" t="str">
        <f>B110&amp;C110&amp;H110&amp;N110</f>
        <v>35000967VfL ObereisesheimB-Junioren1</v>
      </c>
      <c r="B110" t="s">
        <v>467</v>
      </c>
      <c r="C110" t="s">
        <v>468</v>
      </c>
      <c r="D110" t="s">
        <v>77</v>
      </c>
      <c r="E110" t="s">
        <v>35</v>
      </c>
      <c r="F110" t="s">
        <v>36</v>
      </c>
      <c r="G110">
        <v>3</v>
      </c>
      <c r="H110" t="s">
        <v>355</v>
      </c>
      <c r="I110" t="s">
        <v>114</v>
      </c>
      <c r="J110" t="s">
        <v>446</v>
      </c>
      <c r="K110" t="s">
        <v>447</v>
      </c>
      <c r="L110" t="s">
        <v>1347</v>
      </c>
      <c r="M110">
        <v>3</v>
      </c>
      <c r="N110">
        <v>1</v>
      </c>
      <c r="O110" t="s">
        <v>468</v>
      </c>
      <c r="P110" t="s">
        <v>40</v>
      </c>
      <c r="Q110" t="s">
        <v>40</v>
      </c>
      <c r="R110" t="s">
        <v>41</v>
      </c>
      <c r="U110" t="s">
        <v>118</v>
      </c>
      <c r="V110" t="s">
        <v>43</v>
      </c>
      <c r="W110" t="s">
        <v>43</v>
      </c>
      <c r="Y110" t="s">
        <v>43</v>
      </c>
      <c r="Z110" t="s">
        <v>45</v>
      </c>
      <c r="AA110" t="s">
        <v>469</v>
      </c>
      <c r="AB110" t="s">
        <v>43</v>
      </c>
      <c r="AC110" t="s">
        <v>43</v>
      </c>
      <c r="AD110" t="s">
        <v>43</v>
      </c>
      <c r="AE110" t="s">
        <v>43</v>
      </c>
      <c r="AF110" t="str">
        <f>AA110</f>
        <v>Obereisesheim Rasen 1, Eberwinstr. 26, 74172 Neckarsulm-Obereisesheim</v>
      </c>
      <c r="AG110" t="str">
        <f>TRIM(MID(AF110, FIND(", ", AF110)+2, FIND(", ", AF110, FIND(", ", AF110)+1) - FIND(", ", AF110) - 2))</f>
        <v>Eberwinstr. 26</v>
      </c>
      <c r="AH110" t="str">
        <f>_xlfn.TEXTBEFORE(_xlfn.TEXTAFTER(AF110, ", ", 2), " ")</f>
        <v>74172</v>
      </c>
      <c r="AI110" t="str">
        <f>_xlfn.TEXTAFTER(_xlfn.TEXTAFTER(AF110, ", ", 2), " ")</f>
        <v>Neckarsulm-Obereisesheim</v>
      </c>
    </row>
    <row r="111" spans="1:35" x14ac:dyDescent="0.2">
      <c r="A111" t="str">
        <f>B111&amp;C111&amp;H111&amp;N111</f>
        <v>35001521SG Bad WimpfenB-Junioren2</v>
      </c>
      <c r="B111" t="s">
        <v>120</v>
      </c>
      <c r="C111" t="s">
        <v>121</v>
      </c>
      <c r="D111" t="s">
        <v>77</v>
      </c>
      <c r="E111" t="s">
        <v>35</v>
      </c>
      <c r="F111" t="s">
        <v>36</v>
      </c>
      <c r="G111">
        <v>3</v>
      </c>
      <c r="H111" t="s">
        <v>355</v>
      </c>
      <c r="I111" t="s">
        <v>114</v>
      </c>
      <c r="J111" t="s">
        <v>446</v>
      </c>
      <c r="K111" t="s">
        <v>447</v>
      </c>
      <c r="L111" t="s">
        <v>1347</v>
      </c>
      <c r="M111">
        <v>2</v>
      </c>
      <c r="N111">
        <v>2</v>
      </c>
      <c r="O111" t="s">
        <v>448</v>
      </c>
      <c r="P111" t="s">
        <v>40</v>
      </c>
      <c r="Q111" t="s">
        <v>40</v>
      </c>
      <c r="R111" t="s">
        <v>41</v>
      </c>
      <c r="U111" t="s">
        <v>226</v>
      </c>
      <c r="V111" t="s">
        <v>43</v>
      </c>
      <c r="W111" t="s">
        <v>43</v>
      </c>
      <c r="Y111" t="s">
        <v>449</v>
      </c>
      <c r="Z111" t="s">
        <v>45</v>
      </c>
      <c r="AA111" t="s">
        <v>122</v>
      </c>
      <c r="AB111" t="s">
        <v>43</v>
      </c>
      <c r="AC111" t="s">
        <v>43</v>
      </c>
      <c r="AD111" t="s">
        <v>43</v>
      </c>
      <c r="AE111" t="s">
        <v>43</v>
      </c>
      <c r="AF111" t="str">
        <f>AA111</f>
        <v>Bad Wimpfen Kunstrasen, Erich-Sailer-Str. 59, 74206 Bad Wimpfen-Zentrum</v>
      </c>
      <c r="AG111" t="str">
        <f>TRIM(MID(AF111, FIND(", ", AF111)+2, FIND(", ", AF111, FIND(", ", AF111)+1) - FIND(", ", AF111) - 2))</f>
        <v>Erich-Sailer-Str. 59</v>
      </c>
      <c r="AH111" t="str">
        <f>_xlfn.TEXTBEFORE(_xlfn.TEXTAFTER(AF111, ", ", 2), " ")</f>
        <v>74206</v>
      </c>
      <c r="AI111" t="str">
        <f>_xlfn.TEXTAFTER(_xlfn.TEXTAFTER(AF111, ", ", 2), " ")</f>
        <v>Bad Wimpfen-Zentrum</v>
      </c>
    </row>
    <row r="112" spans="1:35" x14ac:dyDescent="0.2">
      <c r="A112" t="str">
        <f>B112&amp;C112&amp;H112&amp;N112</f>
        <v>35000079SSV AuensteinB-Junioren1</v>
      </c>
      <c r="B112" t="s">
        <v>271</v>
      </c>
      <c r="C112" t="s">
        <v>272</v>
      </c>
      <c r="D112" t="s">
        <v>34</v>
      </c>
      <c r="E112" t="s">
        <v>35</v>
      </c>
      <c r="F112" t="s">
        <v>36</v>
      </c>
      <c r="G112">
        <v>3</v>
      </c>
      <c r="H112" t="s">
        <v>355</v>
      </c>
      <c r="I112" t="s">
        <v>114</v>
      </c>
      <c r="J112" t="s">
        <v>446</v>
      </c>
      <c r="K112" t="s">
        <v>470</v>
      </c>
      <c r="L112" t="s">
        <v>1348</v>
      </c>
      <c r="M112">
        <v>4</v>
      </c>
      <c r="N112">
        <v>1</v>
      </c>
      <c r="O112" t="s">
        <v>272</v>
      </c>
      <c r="P112" t="s">
        <v>40</v>
      </c>
      <c r="Q112" t="s">
        <v>40</v>
      </c>
      <c r="R112" t="s">
        <v>41</v>
      </c>
      <c r="U112" t="s">
        <v>226</v>
      </c>
      <c r="V112" t="s">
        <v>43</v>
      </c>
      <c r="W112" t="s">
        <v>43</v>
      </c>
      <c r="Y112" t="s">
        <v>487</v>
      </c>
      <c r="Z112" t="s">
        <v>45</v>
      </c>
      <c r="AA112" t="s">
        <v>275</v>
      </c>
      <c r="AB112" t="s">
        <v>43</v>
      </c>
      <c r="AC112" t="s">
        <v>43</v>
      </c>
      <c r="AD112" t="s">
        <v>43</v>
      </c>
      <c r="AE112" t="s">
        <v>43</v>
      </c>
      <c r="AF112" t="str">
        <f>AA112</f>
        <v>Auenstein Rasen 1 (Sportpark am Tiefenbach), Ochsenweg 1, 74360 Ilsfeld-Auenstein</v>
      </c>
      <c r="AG112" t="str">
        <f>TRIM(MID(AF112, FIND(", ", AF112)+2, FIND(", ", AF112, FIND(", ", AF112)+1) - FIND(", ", AF112) - 2))</f>
        <v>Ochsenweg 1</v>
      </c>
      <c r="AH112" t="str">
        <f>_xlfn.TEXTBEFORE(_xlfn.TEXTAFTER(AF112, ", ", 2), " ")</f>
        <v>74360</v>
      </c>
      <c r="AI112" t="str">
        <f>_xlfn.TEXTAFTER(_xlfn.TEXTAFTER(AF112, ", ", 2), " ")</f>
        <v>Ilsfeld-Auenstein</v>
      </c>
    </row>
    <row r="113" spans="1:35" x14ac:dyDescent="0.2">
      <c r="A113" t="str">
        <f>B113&amp;C113&amp;H113&amp;N113</f>
        <v>35000186SC BöckingenB-Junioren1</v>
      </c>
      <c r="B113" t="s">
        <v>238</v>
      </c>
      <c r="C113" t="s">
        <v>239</v>
      </c>
      <c r="D113" t="s">
        <v>34</v>
      </c>
      <c r="E113" t="s">
        <v>35</v>
      </c>
      <c r="F113" t="s">
        <v>36</v>
      </c>
      <c r="G113">
        <v>3</v>
      </c>
      <c r="H113" t="s">
        <v>355</v>
      </c>
      <c r="I113" t="s">
        <v>114</v>
      </c>
      <c r="J113" t="s">
        <v>446</v>
      </c>
      <c r="K113" t="s">
        <v>470</v>
      </c>
      <c r="L113" t="s">
        <v>1348</v>
      </c>
      <c r="M113">
        <v>3</v>
      </c>
      <c r="N113">
        <v>1</v>
      </c>
      <c r="O113" t="s">
        <v>241</v>
      </c>
      <c r="P113" t="s">
        <v>40</v>
      </c>
      <c r="Q113" t="s">
        <v>53</v>
      </c>
      <c r="R113" t="s">
        <v>41</v>
      </c>
      <c r="U113" t="s">
        <v>226</v>
      </c>
      <c r="V113" t="s">
        <v>43</v>
      </c>
      <c r="W113" t="s">
        <v>43</v>
      </c>
      <c r="Y113" t="s">
        <v>242</v>
      </c>
      <c r="Z113" t="s">
        <v>45</v>
      </c>
      <c r="AA113" t="s">
        <v>89</v>
      </c>
      <c r="AB113" t="s">
        <v>43</v>
      </c>
      <c r="AC113" t="s">
        <v>43</v>
      </c>
      <c r="AD113" t="s">
        <v>43</v>
      </c>
      <c r="AE113" t="s">
        <v>43</v>
      </c>
      <c r="AF113" t="str">
        <f>AA113</f>
        <v>Böckingen (SC) Kunstrasen, Viehweide 5, 74080 Heilbronn-Böckingen</v>
      </c>
      <c r="AG113" t="str">
        <f>TRIM(MID(AF113, FIND(", ", AF113)+2, FIND(", ", AF113, FIND(", ", AF113)+1) - FIND(", ", AF113) - 2))</f>
        <v>Viehweide 5</v>
      </c>
      <c r="AH113" t="str">
        <f>_xlfn.TEXTBEFORE(_xlfn.TEXTAFTER(AF113, ", ", 2), " ")</f>
        <v>74080</v>
      </c>
      <c r="AI113" t="str">
        <f>_xlfn.TEXTAFTER(_xlfn.TEXTAFTER(AF113, ", ", 2), " ")</f>
        <v>Heilbronn-Böckingen</v>
      </c>
    </row>
    <row r="114" spans="1:35" x14ac:dyDescent="0.2">
      <c r="A114" t="str">
        <f>B114&amp;C114&amp;H114&amp;N114</f>
        <v>35000332GSV EibensbachB-Junioren2</v>
      </c>
      <c r="B114" t="s">
        <v>364</v>
      </c>
      <c r="C114" t="s">
        <v>365</v>
      </c>
      <c r="D114" t="s">
        <v>34</v>
      </c>
      <c r="E114" t="s">
        <v>35</v>
      </c>
      <c r="F114" t="s">
        <v>36</v>
      </c>
      <c r="G114">
        <v>3</v>
      </c>
      <c r="H114" t="s">
        <v>355</v>
      </c>
      <c r="I114" t="s">
        <v>114</v>
      </c>
      <c r="J114" t="s">
        <v>446</v>
      </c>
      <c r="K114" t="s">
        <v>470</v>
      </c>
      <c r="L114" t="s">
        <v>1348</v>
      </c>
      <c r="M114">
        <v>7</v>
      </c>
      <c r="N114">
        <v>2</v>
      </c>
      <c r="O114" t="s">
        <v>472</v>
      </c>
      <c r="P114" t="s">
        <v>40</v>
      </c>
      <c r="Q114" t="s">
        <v>40</v>
      </c>
      <c r="R114" t="s">
        <v>41</v>
      </c>
      <c r="U114" t="s">
        <v>226</v>
      </c>
      <c r="V114" t="s">
        <v>43</v>
      </c>
      <c r="W114" t="s">
        <v>43</v>
      </c>
      <c r="Y114" t="s">
        <v>43</v>
      </c>
      <c r="Z114" t="s">
        <v>45</v>
      </c>
      <c r="AA114" t="s">
        <v>367</v>
      </c>
      <c r="AB114" t="s">
        <v>43</v>
      </c>
      <c r="AC114" t="s">
        <v>43</v>
      </c>
      <c r="AD114" t="s">
        <v>43</v>
      </c>
      <c r="AE114" t="s">
        <v>43</v>
      </c>
      <c r="AF114" t="str">
        <f>AA114</f>
        <v>Eibensbach Rasen 1, Flügelaustraße 29, 74363 Eibensbach</v>
      </c>
      <c r="AG114" t="str">
        <f>TRIM(MID(AF114, FIND(", ", AF114)+2, FIND(", ", AF114, FIND(", ", AF114)+1) - FIND(", ", AF114) - 2))</f>
        <v>Flügelaustraße 29</v>
      </c>
      <c r="AH114" t="str">
        <f>_xlfn.TEXTBEFORE(_xlfn.TEXTAFTER(AF114, ", ", 2), " ")</f>
        <v>74363</v>
      </c>
      <c r="AI114" t="str">
        <f>_xlfn.TEXTAFTER(_xlfn.TEXTAFTER(AF114, ", ", 2), " ")</f>
        <v>Eibensbach</v>
      </c>
    </row>
    <row r="115" spans="1:35" x14ac:dyDescent="0.2">
      <c r="A115" t="str">
        <f>B115&amp;C115&amp;H115&amp;N115</f>
        <v>35000411Sportverein Heilbronn am Leinbach 1891B-Junioren2</v>
      </c>
      <c r="B115" t="s">
        <v>223</v>
      </c>
      <c r="C115" t="s">
        <v>224</v>
      </c>
      <c r="D115" t="s">
        <v>34</v>
      </c>
      <c r="E115" t="s">
        <v>35</v>
      </c>
      <c r="F115" t="s">
        <v>36</v>
      </c>
      <c r="G115">
        <v>3</v>
      </c>
      <c r="H115" t="s">
        <v>355</v>
      </c>
      <c r="I115" t="s">
        <v>114</v>
      </c>
      <c r="J115" t="s">
        <v>446</v>
      </c>
      <c r="K115" t="s">
        <v>470</v>
      </c>
      <c r="L115" t="s">
        <v>1348</v>
      </c>
      <c r="M115">
        <v>9</v>
      </c>
      <c r="N115">
        <v>2</v>
      </c>
      <c r="O115" t="s">
        <v>488</v>
      </c>
      <c r="P115" t="s">
        <v>40</v>
      </c>
      <c r="Q115" t="s">
        <v>40</v>
      </c>
      <c r="R115" t="s">
        <v>41</v>
      </c>
      <c r="U115" t="s">
        <v>226</v>
      </c>
      <c r="V115" t="s">
        <v>43</v>
      </c>
      <c r="W115" t="s">
        <v>43</v>
      </c>
      <c r="Y115" t="s">
        <v>489</v>
      </c>
      <c r="Z115" t="s">
        <v>45</v>
      </c>
      <c r="AA115" t="s">
        <v>490</v>
      </c>
      <c r="AB115" t="s">
        <v>491</v>
      </c>
      <c r="AC115" t="s">
        <v>490</v>
      </c>
      <c r="AD115" t="s">
        <v>43</v>
      </c>
      <c r="AE115" t="s">
        <v>43</v>
      </c>
      <c r="AF115" t="str">
        <f>AC115</f>
        <v>Neckargartach Rasen 1, Böllinger Str. 40, 74078 Heilbronn-Neckargartach</v>
      </c>
      <c r="AG115" t="str">
        <f>TRIM(MID(AF115, FIND(", ", AF115)+2, FIND(", ", AF115, FIND(", ", AF115)+1) - FIND(", ", AF115) - 2))</f>
        <v>Böllinger Str. 40</v>
      </c>
      <c r="AH115" t="str">
        <f>_xlfn.TEXTBEFORE(_xlfn.TEXTAFTER(AF115, ", ", 2), " ")</f>
        <v>74078</v>
      </c>
      <c r="AI115" t="str">
        <f>_xlfn.TEXTAFTER(_xlfn.TEXTAFTER(AF115, ", ", 2), " ")</f>
        <v>Heilbronn-Neckargartach</v>
      </c>
    </row>
    <row r="116" spans="1:35" x14ac:dyDescent="0.2">
      <c r="A116" t="str">
        <f>B116&amp;C116&amp;H116&amp;N116</f>
        <v>35001347TSV Talheim (Franken)B-Junioren1</v>
      </c>
      <c r="B116" t="s">
        <v>492</v>
      </c>
      <c r="C116" t="s">
        <v>493</v>
      </c>
      <c r="D116" t="s">
        <v>34</v>
      </c>
      <c r="E116" t="s">
        <v>35</v>
      </c>
      <c r="F116" t="s">
        <v>36</v>
      </c>
      <c r="G116">
        <v>3</v>
      </c>
      <c r="H116" t="s">
        <v>355</v>
      </c>
      <c r="I116" t="s">
        <v>114</v>
      </c>
      <c r="J116" t="s">
        <v>446</v>
      </c>
      <c r="K116" t="s">
        <v>470</v>
      </c>
      <c r="L116" t="s">
        <v>1348</v>
      </c>
      <c r="M116">
        <v>6</v>
      </c>
      <c r="N116">
        <v>1</v>
      </c>
      <c r="O116" t="s">
        <v>494</v>
      </c>
      <c r="P116" t="s">
        <v>40</v>
      </c>
      <c r="Q116" t="s">
        <v>53</v>
      </c>
      <c r="R116" t="s">
        <v>41</v>
      </c>
      <c r="U116" t="s">
        <v>226</v>
      </c>
      <c r="V116" t="s">
        <v>43</v>
      </c>
      <c r="W116" t="s">
        <v>43</v>
      </c>
      <c r="Y116" t="s">
        <v>495</v>
      </c>
      <c r="Z116" t="s">
        <v>45</v>
      </c>
      <c r="AA116" t="s">
        <v>496</v>
      </c>
      <c r="AB116" t="s">
        <v>43</v>
      </c>
      <c r="AC116" t="s">
        <v>43</v>
      </c>
      <c r="AD116" t="s">
        <v>43</v>
      </c>
      <c r="AE116" t="s">
        <v>43</v>
      </c>
      <c r="AF116" t="str">
        <f>AA116</f>
        <v>Talheim Rasen, Sontheimer Str., 74388 Talheim-Zentrum</v>
      </c>
      <c r="AG116" t="str">
        <f>TRIM(MID(AF116, FIND(", ", AF116)+2, FIND(", ", AF116, FIND(", ", AF116)+1) - FIND(", ", AF116) - 2))</f>
        <v>Sontheimer Str.</v>
      </c>
      <c r="AH116" t="str">
        <f>_xlfn.TEXTBEFORE(_xlfn.TEXTAFTER(AF116, ", ", 2), " ")</f>
        <v>74388</v>
      </c>
      <c r="AI116" t="str">
        <f>_xlfn.TEXTAFTER(_xlfn.TEXTAFTER(AF116, ", ", 2), " ")</f>
        <v>Talheim-Zentrum</v>
      </c>
    </row>
    <row r="117" spans="1:35" x14ac:dyDescent="0.2">
      <c r="A117" t="str">
        <f>B117&amp;C117&amp;H117&amp;N117</f>
        <v>35001762FC ObersulmB-Junioren1</v>
      </c>
      <c r="B117" t="s">
        <v>473</v>
      </c>
      <c r="C117" t="s">
        <v>474</v>
      </c>
      <c r="D117" t="s">
        <v>34</v>
      </c>
      <c r="E117" t="s">
        <v>35</v>
      </c>
      <c r="F117" t="s">
        <v>36</v>
      </c>
      <c r="G117">
        <v>3</v>
      </c>
      <c r="H117" t="s">
        <v>355</v>
      </c>
      <c r="I117" t="s">
        <v>114</v>
      </c>
      <c r="J117" t="s">
        <v>446</v>
      </c>
      <c r="K117" t="s">
        <v>470</v>
      </c>
      <c r="L117" t="s">
        <v>1348</v>
      </c>
      <c r="M117">
        <v>10</v>
      </c>
      <c r="N117">
        <v>1</v>
      </c>
      <c r="O117" t="s">
        <v>475</v>
      </c>
      <c r="P117" t="s">
        <v>40</v>
      </c>
      <c r="Q117" t="s">
        <v>40</v>
      </c>
      <c r="R117" t="s">
        <v>41</v>
      </c>
      <c r="U117" t="s">
        <v>226</v>
      </c>
      <c r="V117" t="s">
        <v>43</v>
      </c>
      <c r="W117" t="s">
        <v>43</v>
      </c>
      <c r="Y117" t="s">
        <v>476</v>
      </c>
      <c r="Z117" t="s">
        <v>45</v>
      </c>
      <c r="AA117" t="s">
        <v>477</v>
      </c>
      <c r="AB117" t="s">
        <v>43</v>
      </c>
      <c r="AC117" t="s">
        <v>43</v>
      </c>
      <c r="AD117" t="s">
        <v>43</v>
      </c>
      <c r="AE117" t="s">
        <v>43</v>
      </c>
      <c r="AF117" t="str">
        <f>AA117</f>
        <v>Affaltrach Rasen, Michelbachstr., 74182 Obersulm-Affaltrach</v>
      </c>
      <c r="AG117" t="str">
        <f>TRIM(MID(AF117, FIND(", ", AF117)+2, FIND(", ", AF117, FIND(", ", AF117)+1) - FIND(", ", AF117) - 2))</f>
        <v>Michelbachstr.</v>
      </c>
      <c r="AH117" t="str">
        <f>_xlfn.TEXTBEFORE(_xlfn.TEXTAFTER(AF117, ", ", 2), " ")</f>
        <v>74182</v>
      </c>
      <c r="AI117" t="str">
        <f>_xlfn.TEXTAFTER(_xlfn.TEXTAFTER(AF117, ", ", 2), " ")</f>
        <v>Obersulm-Affaltrach</v>
      </c>
    </row>
    <row r="118" spans="1:35" x14ac:dyDescent="0.2">
      <c r="A118" t="str">
        <f>B118&amp;C118&amp;H118&amp;N118</f>
        <v>35002162SG Stetten-KleingartachB-Junioren2</v>
      </c>
      <c r="B118" t="s">
        <v>385</v>
      </c>
      <c r="C118" t="s">
        <v>386</v>
      </c>
      <c r="D118" t="s">
        <v>34</v>
      </c>
      <c r="E118" t="s">
        <v>35</v>
      </c>
      <c r="F118" t="s">
        <v>36</v>
      </c>
      <c r="G118">
        <v>3</v>
      </c>
      <c r="H118" t="s">
        <v>355</v>
      </c>
      <c r="I118" t="s">
        <v>114</v>
      </c>
      <c r="J118" t="s">
        <v>446</v>
      </c>
      <c r="K118" t="s">
        <v>470</v>
      </c>
      <c r="L118" t="s">
        <v>1348</v>
      </c>
      <c r="M118">
        <v>5</v>
      </c>
      <c r="N118">
        <v>2</v>
      </c>
      <c r="O118" t="s">
        <v>483</v>
      </c>
      <c r="P118" t="s">
        <v>40</v>
      </c>
      <c r="Q118" t="s">
        <v>53</v>
      </c>
      <c r="R118" t="s">
        <v>41</v>
      </c>
      <c r="U118" t="s">
        <v>226</v>
      </c>
      <c r="V118" t="s">
        <v>43</v>
      </c>
      <c r="W118" t="s">
        <v>43</v>
      </c>
      <c r="Y118" t="s">
        <v>484</v>
      </c>
      <c r="Z118" t="s">
        <v>45</v>
      </c>
      <c r="AA118" t="s">
        <v>389</v>
      </c>
      <c r="AB118" t="s">
        <v>43</v>
      </c>
      <c r="AC118" t="s">
        <v>43</v>
      </c>
      <c r="AD118" t="s">
        <v>43</v>
      </c>
      <c r="AE118" t="s">
        <v>43</v>
      </c>
      <c r="AF118" t="str">
        <f>AA118</f>
        <v>Stetten Rasen 1, Austr., 74193 Schwaigern-Stetten</v>
      </c>
      <c r="AG118" t="str">
        <f>TRIM(MID(AF118, FIND(", ", AF118)+2, FIND(", ", AF118, FIND(", ", AF118)+1) - FIND(", ", AF118) - 2))</f>
        <v>Austr.</v>
      </c>
      <c r="AH118" t="str">
        <f>_xlfn.TEXTBEFORE(_xlfn.TEXTAFTER(AF118, ", ", 2), " ")</f>
        <v>74193</v>
      </c>
      <c r="AI118" t="str">
        <f>_xlfn.TEXTAFTER(_xlfn.TEXTAFTER(AF118, ", ", 2), " ")</f>
        <v>Schwaigern-Stetten</v>
      </c>
    </row>
    <row r="119" spans="1:35" x14ac:dyDescent="0.2">
      <c r="A119" t="str">
        <f>B119&amp;C119&amp;H119&amp;N119</f>
        <v>35000921TSV NeudenauB-Junioren2</v>
      </c>
      <c r="B119" t="s">
        <v>453</v>
      </c>
      <c r="C119" t="s">
        <v>454</v>
      </c>
      <c r="D119" t="s">
        <v>77</v>
      </c>
      <c r="E119" t="s">
        <v>35</v>
      </c>
      <c r="F119" t="s">
        <v>36</v>
      </c>
      <c r="G119">
        <v>3</v>
      </c>
      <c r="H119" t="s">
        <v>355</v>
      </c>
      <c r="I119" t="s">
        <v>114</v>
      </c>
      <c r="J119" t="s">
        <v>446</v>
      </c>
      <c r="K119" t="s">
        <v>470</v>
      </c>
      <c r="L119" t="s">
        <v>1348</v>
      </c>
      <c r="M119">
        <v>1</v>
      </c>
      <c r="N119">
        <v>2</v>
      </c>
      <c r="O119" t="s">
        <v>485</v>
      </c>
      <c r="P119" t="s">
        <v>40</v>
      </c>
      <c r="Q119" t="s">
        <v>53</v>
      </c>
      <c r="R119" t="s">
        <v>41</v>
      </c>
      <c r="U119" t="s">
        <v>226</v>
      </c>
      <c r="V119" t="s">
        <v>43</v>
      </c>
      <c r="W119" t="s">
        <v>43</v>
      </c>
      <c r="Y119" t="s">
        <v>486</v>
      </c>
      <c r="Z119" t="s">
        <v>45</v>
      </c>
      <c r="AA119" t="s">
        <v>457</v>
      </c>
      <c r="AB119" t="s">
        <v>43</v>
      </c>
      <c r="AC119" t="s">
        <v>43</v>
      </c>
      <c r="AD119" t="s">
        <v>43</v>
      </c>
      <c r="AE119" t="s">
        <v>43</v>
      </c>
      <c r="AF119" t="str">
        <f>AA119</f>
        <v>Siglingen Rasen 1, Züttlinger Str., 74861 Neudenau-Siglingen</v>
      </c>
      <c r="AG119" t="str">
        <f>TRIM(MID(AF119, FIND(", ", AF119)+2, FIND(", ", AF119, FIND(", ", AF119)+1) - FIND(", ", AF119) - 2))</f>
        <v>Züttlinger Str.</v>
      </c>
      <c r="AH119" t="str">
        <f>_xlfn.TEXTBEFORE(_xlfn.TEXTAFTER(AF119, ", ", 2), " ")</f>
        <v>74861</v>
      </c>
      <c r="AI119" t="str">
        <f>_xlfn.TEXTAFTER(_xlfn.TEXTAFTER(AF119, ", ", 2), " ")</f>
        <v>Neudenau-Siglingen</v>
      </c>
    </row>
    <row r="120" spans="1:35" x14ac:dyDescent="0.2">
      <c r="A120" t="str">
        <f>B120&amp;C120&amp;H120&amp;N120</f>
        <v>35001000Spvgg OedheimB-Junioren2</v>
      </c>
      <c r="B120" t="s">
        <v>381</v>
      </c>
      <c r="C120" t="s">
        <v>382</v>
      </c>
      <c r="D120" t="s">
        <v>77</v>
      </c>
      <c r="E120" t="s">
        <v>35</v>
      </c>
      <c r="F120" t="s">
        <v>36</v>
      </c>
      <c r="G120">
        <v>3</v>
      </c>
      <c r="H120" t="s">
        <v>355</v>
      </c>
      <c r="I120" t="s">
        <v>114</v>
      </c>
      <c r="J120" t="s">
        <v>446</v>
      </c>
      <c r="K120" t="s">
        <v>470</v>
      </c>
      <c r="L120" t="s">
        <v>1348</v>
      </c>
      <c r="M120">
        <v>8</v>
      </c>
      <c r="N120">
        <v>2</v>
      </c>
      <c r="O120" t="s">
        <v>478</v>
      </c>
      <c r="P120" t="s">
        <v>40</v>
      </c>
      <c r="Q120" t="s">
        <v>40</v>
      </c>
      <c r="R120" t="s">
        <v>41</v>
      </c>
      <c r="U120" t="s">
        <v>226</v>
      </c>
      <c r="V120" t="s">
        <v>43</v>
      </c>
      <c r="W120" t="s">
        <v>43</v>
      </c>
      <c r="Y120" t="s">
        <v>479</v>
      </c>
      <c r="Z120" t="s">
        <v>45</v>
      </c>
      <c r="AA120" t="s">
        <v>480</v>
      </c>
      <c r="AB120" t="s">
        <v>481</v>
      </c>
      <c r="AC120" t="s">
        <v>482</v>
      </c>
      <c r="AD120" t="s">
        <v>43</v>
      </c>
      <c r="AE120" t="s">
        <v>43</v>
      </c>
      <c r="AF120" t="str">
        <f>AC120</f>
        <v>Dahenfeld Kunstrasen, Erlenbacher Str., 74172 Neckarsulm-Dahenfeld</v>
      </c>
      <c r="AG120" t="str">
        <f>TRIM(MID(AF120, FIND(", ", AF120)+2, FIND(", ", AF120, FIND(", ", AF120)+1) - FIND(", ", AF120) - 2))</f>
        <v>Erlenbacher Str.</v>
      </c>
      <c r="AH120" t="str">
        <f>_xlfn.TEXTBEFORE(_xlfn.TEXTAFTER(AF120, ", ", 2), " ")</f>
        <v>74172</v>
      </c>
      <c r="AI120" t="str">
        <f>_xlfn.TEXTAFTER(_xlfn.TEXTAFTER(AF120, ", ", 2), " ")</f>
        <v>Neckarsulm-Dahenfeld</v>
      </c>
    </row>
    <row r="121" spans="1:35" x14ac:dyDescent="0.2">
      <c r="A121" t="str">
        <f>B121&amp;C121&amp;H121&amp;N121</f>
        <v>35002099FSV Friedrichshaller SV 1898B-Junioren2</v>
      </c>
      <c r="B121" t="s">
        <v>338</v>
      </c>
      <c r="C121" t="s">
        <v>339</v>
      </c>
      <c r="D121" t="s">
        <v>77</v>
      </c>
      <c r="E121" t="s">
        <v>35</v>
      </c>
      <c r="F121" t="s">
        <v>36</v>
      </c>
      <c r="G121">
        <v>3</v>
      </c>
      <c r="H121" t="s">
        <v>355</v>
      </c>
      <c r="I121" t="s">
        <v>114</v>
      </c>
      <c r="J121" t="s">
        <v>446</v>
      </c>
      <c r="K121" t="s">
        <v>470</v>
      </c>
      <c r="L121" t="s">
        <v>1348</v>
      </c>
      <c r="M121">
        <v>2</v>
      </c>
      <c r="N121">
        <v>2</v>
      </c>
      <c r="O121" t="s">
        <v>471</v>
      </c>
      <c r="P121" t="s">
        <v>40</v>
      </c>
      <c r="Q121" t="s">
        <v>53</v>
      </c>
      <c r="R121" t="s">
        <v>41</v>
      </c>
      <c r="U121" s="2" t="s">
        <v>226</v>
      </c>
      <c r="V121" t="s">
        <v>43</v>
      </c>
      <c r="W121" t="s">
        <v>43</v>
      </c>
      <c r="Y121" t="s">
        <v>43</v>
      </c>
      <c r="Z121" t="s">
        <v>45</v>
      </c>
      <c r="AA121" t="s">
        <v>341</v>
      </c>
      <c r="AB121" t="s">
        <v>43</v>
      </c>
      <c r="AC121" t="s">
        <v>43</v>
      </c>
      <c r="AD121" t="s">
        <v>43</v>
      </c>
      <c r="AE121" t="s">
        <v>43</v>
      </c>
      <c r="AF121" t="str">
        <f>AA121</f>
        <v>Jagstfeld Kunstrasen, Hohe Straße , 74177 Bad Friedrichshall-Jagstfeld</v>
      </c>
      <c r="AG121" t="str">
        <f>TRIM(MID(AF121, FIND(", ", AF121)+2, FIND(", ", AF121, FIND(", ", AF121)+1) - FIND(", ", AF121) - 2))</f>
        <v>Hohe Straße</v>
      </c>
      <c r="AH121" t="str">
        <f>_xlfn.TEXTBEFORE(_xlfn.TEXTAFTER(AF121, ", ", 2), " ")</f>
        <v>74177</v>
      </c>
      <c r="AI121" t="str">
        <f>_xlfn.TEXTAFTER(_xlfn.TEXTAFTER(AF121, ", ", 2), " ")</f>
        <v>Bad Friedrichshall-Jagstfeld</v>
      </c>
    </row>
    <row r="122" spans="1:35" x14ac:dyDescent="0.2">
      <c r="A122" t="str">
        <f>B122&amp;C122&amp;H122&amp;N122</f>
        <v>35000853SC Michelbach/WaldB-Junioren1</v>
      </c>
      <c r="B122" t="s">
        <v>160</v>
      </c>
      <c r="C122" t="s">
        <v>161</v>
      </c>
      <c r="D122" t="s">
        <v>66</v>
      </c>
      <c r="E122" t="s">
        <v>35</v>
      </c>
      <c r="F122" t="s">
        <v>50</v>
      </c>
      <c r="G122">
        <v>3</v>
      </c>
      <c r="H122" t="s">
        <v>355</v>
      </c>
      <c r="I122" t="s">
        <v>114</v>
      </c>
      <c r="J122" t="s">
        <v>446</v>
      </c>
      <c r="K122" t="s">
        <v>497</v>
      </c>
      <c r="L122" t="s">
        <v>1349</v>
      </c>
      <c r="M122">
        <v>2</v>
      </c>
      <c r="N122">
        <v>1</v>
      </c>
      <c r="O122" t="s">
        <v>161</v>
      </c>
      <c r="P122" t="s">
        <v>40</v>
      </c>
      <c r="Q122" t="s">
        <v>40</v>
      </c>
      <c r="R122" t="s">
        <v>41</v>
      </c>
      <c r="U122" t="s">
        <v>118</v>
      </c>
      <c r="V122" t="s">
        <v>43</v>
      </c>
      <c r="W122" t="s">
        <v>43</v>
      </c>
      <c r="Y122" t="s">
        <v>163</v>
      </c>
      <c r="Z122" t="s">
        <v>45</v>
      </c>
      <c r="AA122" t="s">
        <v>498</v>
      </c>
      <c r="AB122" t="s">
        <v>43</v>
      </c>
      <c r="AC122" t="s">
        <v>43</v>
      </c>
      <c r="AD122" t="s">
        <v>43</v>
      </c>
      <c r="AE122" t="s">
        <v>43</v>
      </c>
      <c r="AF122" t="str">
        <f>AA122</f>
        <v>Kunstrasenplatz SC Michelbach/Wald, Keltergasse, 74613 Öhringen-Michelbach</v>
      </c>
      <c r="AG122" t="str">
        <f>TRIM(MID(AF122, FIND(", ", AF122)+2, FIND(", ", AF122, FIND(", ", AF122)+1) - FIND(", ", AF122) - 2))</f>
        <v>Keltergasse</v>
      </c>
      <c r="AH122" t="str">
        <f>_xlfn.TEXTBEFORE(_xlfn.TEXTAFTER(AF122, ", ", 2), " ")</f>
        <v>74613</v>
      </c>
      <c r="AI122" t="str">
        <f>_xlfn.TEXTAFTER(_xlfn.TEXTAFTER(AF122, ", ", 2), " ")</f>
        <v>Öhringen-Michelbach</v>
      </c>
    </row>
    <row r="123" spans="1:35" x14ac:dyDescent="0.2">
      <c r="A123" t="str">
        <f>B123&amp;C123&amp;H123&amp;N123</f>
        <v>35000924TSV NeuensteinB-Junioren1</v>
      </c>
      <c r="B123" t="s">
        <v>527</v>
      </c>
      <c r="C123" t="s">
        <v>528</v>
      </c>
      <c r="D123" t="s">
        <v>66</v>
      </c>
      <c r="E123" t="s">
        <v>35</v>
      </c>
      <c r="F123" t="s">
        <v>50</v>
      </c>
      <c r="G123">
        <v>3</v>
      </c>
      <c r="H123" t="s">
        <v>355</v>
      </c>
      <c r="I123" t="s">
        <v>114</v>
      </c>
      <c r="J123" t="s">
        <v>446</v>
      </c>
      <c r="K123" t="s">
        <v>497</v>
      </c>
      <c r="L123" t="s">
        <v>1349</v>
      </c>
      <c r="M123">
        <v>4</v>
      </c>
      <c r="N123">
        <v>1</v>
      </c>
      <c r="O123" t="s">
        <v>529</v>
      </c>
      <c r="P123" t="s">
        <v>40</v>
      </c>
      <c r="Q123" t="s">
        <v>40</v>
      </c>
      <c r="R123" t="s">
        <v>41</v>
      </c>
      <c r="U123" t="s">
        <v>118</v>
      </c>
      <c r="V123" t="s">
        <v>43</v>
      </c>
      <c r="W123" t="s">
        <v>43</v>
      </c>
      <c r="Y123" t="s">
        <v>43</v>
      </c>
      <c r="Z123" t="s">
        <v>45</v>
      </c>
      <c r="AA123" t="s">
        <v>530</v>
      </c>
      <c r="AB123" t="s">
        <v>43</v>
      </c>
      <c r="AC123" t="s">
        <v>43</v>
      </c>
      <c r="AD123" t="s">
        <v>43</v>
      </c>
      <c r="AE123" t="s">
        <v>43</v>
      </c>
      <c r="AF123" t="str">
        <f>AA123</f>
        <v>Sportplatz 1 TSV Neuenstein, Öhringer Str., 74632 Neuenstein-Zentrum</v>
      </c>
      <c r="AG123" t="str">
        <f>TRIM(MID(AF123, FIND(", ", AF123)+2, FIND(", ", AF123, FIND(", ", AF123)+1) - FIND(", ", AF123) - 2))</f>
        <v>Öhringer Str.</v>
      </c>
      <c r="AH123" t="str">
        <f>_xlfn.TEXTBEFORE(_xlfn.TEXTAFTER(AF123, ", ", 2), " ")</f>
        <v>74632</v>
      </c>
      <c r="AI123" t="str">
        <f>_xlfn.TEXTAFTER(_xlfn.TEXTAFTER(AF123, ", ", 2), " ")</f>
        <v>Neuenstein-Zentrum</v>
      </c>
    </row>
    <row r="124" spans="1:35" x14ac:dyDescent="0.2">
      <c r="A124" t="str">
        <f>B124&amp;C124&amp;H124&amp;N124</f>
        <v>35000944TSV NiedernhallB-Junioren1</v>
      </c>
      <c r="B124" t="s">
        <v>531</v>
      </c>
      <c r="C124" t="s">
        <v>532</v>
      </c>
      <c r="D124" t="s">
        <v>49</v>
      </c>
      <c r="E124" t="s">
        <v>35</v>
      </c>
      <c r="F124" t="s">
        <v>50</v>
      </c>
      <c r="G124">
        <v>3</v>
      </c>
      <c r="H124" t="s">
        <v>355</v>
      </c>
      <c r="I124" t="s">
        <v>114</v>
      </c>
      <c r="J124" t="s">
        <v>446</v>
      </c>
      <c r="K124" t="s">
        <v>497</v>
      </c>
      <c r="L124" t="s">
        <v>1349</v>
      </c>
      <c r="M124">
        <v>3</v>
      </c>
      <c r="N124">
        <v>1</v>
      </c>
      <c r="O124" t="s">
        <v>533</v>
      </c>
      <c r="P124" t="s">
        <v>40</v>
      </c>
      <c r="Q124" t="s">
        <v>40</v>
      </c>
      <c r="R124" t="s">
        <v>41</v>
      </c>
      <c r="U124" t="s">
        <v>118</v>
      </c>
      <c r="V124" t="s">
        <v>43</v>
      </c>
      <c r="W124" t="s">
        <v>43</v>
      </c>
      <c r="Y124" t="s">
        <v>43</v>
      </c>
      <c r="Z124" t="s">
        <v>45</v>
      </c>
      <c r="AA124" t="s">
        <v>534</v>
      </c>
      <c r="AB124" t="s">
        <v>432</v>
      </c>
      <c r="AC124" t="s">
        <v>535</v>
      </c>
      <c r="AD124" t="s">
        <v>43</v>
      </c>
      <c r="AE124" t="s">
        <v>43</v>
      </c>
      <c r="AF124" t="str">
        <f>AC124</f>
        <v>Sportplatz Weissbach, Lindenstr., 74679 Weißbach-Zentrum</v>
      </c>
      <c r="AG124" t="str">
        <f>TRIM(MID(AF124, FIND(", ", AF124)+2, FIND(", ", AF124, FIND(", ", AF124)+1) - FIND(", ", AF124) - 2))</f>
        <v>Lindenstr.</v>
      </c>
      <c r="AH124" t="str">
        <f>_xlfn.TEXTBEFORE(_xlfn.TEXTAFTER(AF124, ", ", 2), " ")</f>
        <v>74679</v>
      </c>
      <c r="AI124" t="str">
        <f>_xlfn.TEXTAFTER(_xlfn.TEXTAFTER(AF124, ", ", 2), " ")</f>
        <v>Weißbach-Zentrum</v>
      </c>
    </row>
    <row r="125" spans="1:35" x14ac:dyDescent="0.2">
      <c r="A125" t="str">
        <f>B125&amp;C125&amp;H125&amp;N125</f>
        <v>35000445Spvgg GammesfeldB-Junioren1</v>
      </c>
      <c r="B125" t="s">
        <v>508</v>
      </c>
      <c r="C125" t="s">
        <v>509</v>
      </c>
      <c r="D125" t="s">
        <v>103</v>
      </c>
      <c r="E125" t="s">
        <v>35</v>
      </c>
      <c r="F125" t="s">
        <v>50</v>
      </c>
      <c r="G125">
        <v>12</v>
      </c>
      <c r="H125" t="s">
        <v>355</v>
      </c>
      <c r="I125" t="s">
        <v>114</v>
      </c>
      <c r="J125" t="s">
        <v>446</v>
      </c>
      <c r="K125" t="s">
        <v>497</v>
      </c>
      <c r="L125" t="s">
        <v>1349</v>
      </c>
      <c r="M125">
        <v>8</v>
      </c>
      <c r="N125">
        <v>1</v>
      </c>
      <c r="O125" t="s">
        <v>510</v>
      </c>
      <c r="P125" t="s">
        <v>40</v>
      </c>
      <c r="Q125" t="s">
        <v>40</v>
      </c>
      <c r="R125" t="s">
        <v>41</v>
      </c>
      <c r="U125" t="s">
        <v>118</v>
      </c>
      <c r="V125" t="s">
        <v>43</v>
      </c>
      <c r="W125" t="s">
        <v>43</v>
      </c>
      <c r="Y125" t="s">
        <v>511</v>
      </c>
      <c r="Z125" t="s">
        <v>45</v>
      </c>
      <c r="AA125" t="s">
        <v>512</v>
      </c>
      <c r="AB125" t="s">
        <v>43</v>
      </c>
      <c r="AC125" t="s">
        <v>43</v>
      </c>
      <c r="AD125" t="s">
        <v>43</v>
      </c>
      <c r="AE125" t="s">
        <v>43</v>
      </c>
      <c r="AF125" t="str">
        <f>AA125</f>
        <v>Landwehrstadion, Freie-Weg, 74572 Blaufelden-Gammesfeld</v>
      </c>
      <c r="AG125" t="str">
        <f>TRIM(MID(AF125, FIND(", ", AF125)+2, FIND(", ", AF125, FIND(", ", AF125)+1) - FIND(", ", AF125) - 2))</f>
        <v>Freie-Weg</v>
      </c>
      <c r="AH125" t="str">
        <f>_xlfn.TEXTBEFORE(_xlfn.TEXTAFTER(AF125, ", ", 2), " ")</f>
        <v>74572</v>
      </c>
      <c r="AI125" t="str">
        <f>_xlfn.TEXTAFTER(_xlfn.TEXTAFTER(AF125, ", ", 2), " ")</f>
        <v>Blaufelden-Gammesfeld</v>
      </c>
    </row>
    <row r="126" spans="1:35" x14ac:dyDescent="0.2">
      <c r="A126" t="str">
        <f>B126&amp;C126&amp;H126&amp;N126</f>
        <v>35000508SV Gründelh.-OberspeltachB-Junioren1</v>
      </c>
      <c r="B126" t="s">
        <v>501</v>
      </c>
      <c r="C126" t="s">
        <v>502</v>
      </c>
      <c r="D126" t="s">
        <v>103</v>
      </c>
      <c r="E126" t="s">
        <v>35</v>
      </c>
      <c r="F126" t="s">
        <v>50</v>
      </c>
      <c r="G126">
        <v>12</v>
      </c>
      <c r="H126" t="s">
        <v>355</v>
      </c>
      <c r="I126" t="s">
        <v>114</v>
      </c>
      <c r="J126" t="s">
        <v>446</v>
      </c>
      <c r="K126" t="s">
        <v>497</v>
      </c>
      <c r="L126" t="s">
        <v>1349</v>
      </c>
      <c r="M126">
        <v>5</v>
      </c>
      <c r="N126">
        <v>1</v>
      </c>
      <c r="O126" t="s">
        <v>503</v>
      </c>
      <c r="P126" t="s">
        <v>40</v>
      </c>
      <c r="Q126" t="s">
        <v>40</v>
      </c>
      <c r="R126" t="s">
        <v>41</v>
      </c>
      <c r="U126" t="s">
        <v>118</v>
      </c>
      <c r="V126" t="s">
        <v>43</v>
      </c>
      <c r="W126" t="s">
        <v>43</v>
      </c>
      <c r="Y126" t="s">
        <v>504</v>
      </c>
      <c r="Z126" t="s">
        <v>45</v>
      </c>
      <c r="AA126" t="s">
        <v>505</v>
      </c>
      <c r="AB126" t="s">
        <v>506</v>
      </c>
      <c r="AC126" t="s">
        <v>507</v>
      </c>
      <c r="AD126" t="s">
        <v>43</v>
      </c>
      <c r="AE126" t="s">
        <v>43</v>
      </c>
      <c r="AF126" t="str">
        <f>AC126</f>
        <v>Kunstrasenplatz TSV Obersontheim, Hagenbusch, 74423 Obersontheim</v>
      </c>
      <c r="AG126" t="str">
        <f>TRIM(MID(AF126, FIND(", ", AF126)+2, FIND(", ", AF126, FIND(", ", AF126)+1) - FIND(", ", AF126) - 2))</f>
        <v>Hagenbusch</v>
      </c>
      <c r="AH126" t="str">
        <f>_xlfn.TEXTBEFORE(_xlfn.TEXTAFTER(AF126, ", ", 2), " ")</f>
        <v>74423</v>
      </c>
      <c r="AI126" t="str">
        <f>_xlfn.TEXTAFTER(_xlfn.TEXTAFTER(AF126, ", ", 2), " ")</f>
        <v>Obersontheim</v>
      </c>
    </row>
    <row r="127" spans="1:35" x14ac:dyDescent="0.2">
      <c r="A127" t="str">
        <f>B127&amp;C127&amp;H127&amp;N127</f>
        <v>35000674SV IngersheimB-Junioren1</v>
      </c>
      <c r="B127" t="s">
        <v>513</v>
      </c>
      <c r="C127" t="s">
        <v>514</v>
      </c>
      <c r="D127" t="s">
        <v>103</v>
      </c>
      <c r="E127" t="s">
        <v>35</v>
      </c>
      <c r="F127" t="s">
        <v>50</v>
      </c>
      <c r="G127">
        <v>12</v>
      </c>
      <c r="H127" t="s">
        <v>355</v>
      </c>
      <c r="I127" t="s">
        <v>114</v>
      </c>
      <c r="J127" t="s">
        <v>446</v>
      </c>
      <c r="K127" t="s">
        <v>497</v>
      </c>
      <c r="L127" t="s">
        <v>1349</v>
      </c>
      <c r="M127">
        <v>9</v>
      </c>
      <c r="N127">
        <v>1</v>
      </c>
      <c r="O127" t="s">
        <v>515</v>
      </c>
      <c r="P127" t="s">
        <v>40</v>
      </c>
      <c r="Q127" t="s">
        <v>40</v>
      </c>
      <c r="R127" t="s">
        <v>41</v>
      </c>
      <c r="U127" t="s">
        <v>118</v>
      </c>
      <c r="V127" t="s">
        <v>43</v>
      </c>
      <c r="W127" t="s">
        <v>43</v>
      </c>
      <c r="Y127" t="s">
        <v>43</v>
      </c>
      <c r="Z127" t="s">
        <v>45</v>
      </c>
      <c r="AA127" t="s">
        <v>516</v>
      </c>
      <c r="AB127" t="s">
        <v>196</v>
      </c>
      <c r="AC127" t="s">
        <v>517</v>
      </c>
      <c r="AD127" t="s">
        <v>43</v>
      </c>
      <c r="AE127" t="s">
        <v>43</v>
      </c>
      <c r="AF127" t="str">
        <f>AC127</f>
        <v>Sportplatz 1, SV Ingersheim, Oberes Lehen 4, 74564 Crailsheim</v>
      </c>
      <c r="AG127" t="str">
        <f>_xlfn.TEXTBEFORE(_xlfn.TEXTAFTER(AF127, ", ", 2), ",")</f>
        <v>Oberes Lehen 4</v>
      </c>
      <c r="AH127" t="str">
        <f>_xlfn.TEXTBEFORE(_xlfn.TEXTAFTER(AF127, ", ", 3), " ")</f>
        <v>74564</v>
      </c>
      <c r="AI127" t="str">
        <f>_xlfn.TEXTAFTER(_xlfn.TEXTAFTER(AF127, ", ", 3), " ")</f>
        <v>Crailsheim</v>
      </c>
    </row>
    <row r="128" spans="1:35" x14ac:dyDescent="0.2">
      <c r="A128" t="str">
        <f>B128&amp;C128&amp;H128&amp;N128</f>
        <v>35000709TSG Kirchberg/JagstB-Junioren1</v>
      </c>
      <c r="B128" t="s">
        <v>352</v>
      </c>
      <c r="C128" t="s">
        <v>353</v>
      </c>
      <c r="D128" t="s">
        <v>103</v>
      </c>
      <c r="E128" t="s">
        <v>35</v>
      </c>
      <c r="F128" t="s">
        <v>50</v>
      </c>
      <c r="G128">
        <v>12</v>
      </c>
      <c r="H128" t="s">
        <v>355</v>
      </c>
      <c r="I128" t="s">
        <v>114</v>
      </c>
      <c r="J128" t="s">
        <v>446</v>
      </c>
      <c r="K128" t="s">
        <v>497</v>
      </c>
      <c r="L128" t="s">
        <v>1349</v>
      </c>
      <c r="M128">
        <v>6</v>
      </c>
      <c r="N128">
        <v>1</v>
      </c>
      <c r="O128" t="s">
        <v>353</v>
      </c>
      <c r="P128" t="s">
        <v>40</v>
      </c>
      <c r="Q128" t="s">
        <v>53</v>
      </c>
      <c r="R128" t="s">
        <v>41</v>
      </c>
      <c r="U128" t="s">
        <v>226</v>
      </c>
      <c r="V128" t="s">
        <v>43</v>
      </c>
      <c r="W128" t="s">
        <v>43</v>
      </c>
      <c r="Y128" t="s">
        <v>536</v>
      </c>
      <c r="Z128" t="s">
        <v>45</v>
      </c>
      <c r="AA128" t="s">
        <v>354</v>
      </c>
      <c r="AB128" t="s">
        <v>43</v>
      </c>
      <c r="AC128" t="s">
        <v>43</v>
      </c>
      <c r="AD128" t="s">
        <v>43</v>
      </c>
      <c r="AE128" t="s">
        <v>43</v>
      </c>
      <c r="AF128" t="str">
        <f>AA128</f>
        <v>Sportplatz 1, Uferweg 20, 74592 Kirchberg an der Jagst</v>
      </c>
      <c r="AG128" t="str">
        <f>TRIM(MID(AF128, FIND(", ", AF128)+2, FIND(", ", AF128, FIND(", ", AF128)+1) - FIND(", ", AF128) - 2))</f>
        <v>Uferweg 20</v>
      </c>
      <c r="AH128" t="str">
        <f>_xlfn.TEXTBEFORE(_xlfn.TEXTAFTER(AF128, ", ", 2), " ")</f>
        <v>74592</v>
      </c>
      <c r="AI128" t="str">
        <f>_xlfn.TEXTAFTER(_xlfn.TEXTAFTER(AF128, ", ", 2), " ")</f>
        <v>Kirchberg an der Jagst</v>
      </c>
    </row>
    <row r="129" spans="1:35" x14ac:dyDescent="0.2">
      <c r="A129" t="str">
        <f>B129&amp;C129&amp;H129&amp;N129</f>
        <v>35000760FC LangenburgB-Junioren2</v>
      </c>
      <c r="B129" t="s">
        <v>412</v>
      </c>
      <c r="C129" t="s">
        <v>413</v>
      </c>
      <c r="D129" t="s">
        <v>103</v>
      </c>
      <c r="E129" t="s">
        <v>35</v>
      </c>
      <c r="F129" t="s">
        <v>50</v>
      </c>
      <c r="G129">
        <v>12</v>
      </c>
      <c r="H129" t="s">
        <v>355</v>
      </c>
      <c r="I129" t="s">
        <v>114</v>
      </c>
      <c r="J129" t="s">
        <v>446</v>
      </c>
      <c r="K129" t="s">
        <v>497</v>
      </c>
      <c r="L129" t="s">
        <v>1349</v>
      </c>
      <c r="M129">
        <v>10</v>
      </c>
      <c r="N129">
        <v>2</v>
      </c>
      <c r="O129" t="s">
        <v>499</v>
      </c>
      <c r="P129" t="s">
        <v>40</v>
      </c>
      <c r="Q129" t="s">
        <v>40</v>
      </c>
      <c r="R129" t="s">
        <v>41</v>
      </c>
      <c r="U129" t="s">
        <v>226</v>
      </c>
      <c r="V129" t="s">
        <v>43</v>
      </c>
      <c r="W129" t="s">
        <v>43</v>
      </c>
      <c r="Y129" t="s">
        <v>500</v>
      </c>
      <c r="Z129" t="s">
        <v>45</v>
      </c>
      <c r="AA129" t="s">
        <v>416</v>
      </c>
      <c r="AB129" t="s">
        <v>43</v>
      </c>
      <c r="AC129" t="s">
        <v>43</v>
      </c>
      <c r="AD129" t="s">
        <v>43</v>
      </c>
      <c r="AE129" t="s">
        <v>43</v>
      </c>
      <c r="AF129" t="str">
        <f>AA129</f>
        <v>Sportplatz 1 FC Langenburg, Seestr. 72, 74595 Langenburg</v>
      </c>
      <c r="AG129" t="str">
        <f>TRIM(MID(AF129, FIND(", ", AF129)+2, FIND(", ", AF129, FIND(", ", AF129)+1) - FIND(", ", AF129) - 2))</f>
        <v>Seestr. 72</v>
      </c>
      <c r="AH129" t="str">
        <f>_xlfn.TEXTBEFORE(_xlfn.TEXTAFTER(AF129, ", ", 2), " ")</f>
        <v>74595</v>
      </c>
      <c r="AI129" t="str">
        <f>_xlfn.TEXTAFTER(_xlfn.TEXTAFTER(AF129, ", ", 2), " ")</f>
        <v>Langenburg</v>
      </c>
    </row>
    <row r="130" spans="1:35" x14ac:dyDescent="0.2">
      <c r="A130" t="str">
        <f>B130&amp;C130&amp;H130&amp;N130</f>
        <v>35001510SV WestheimB-Junioren1</v>
      </c>
      <c r="B130" t="s">
        <v>518</v>
      </c>
      <c r="C130" t="s">
        <v>519</v>
      </c>
      <c r="D130" t="s">
        <v>58</v>
      </c>
      <c r="E130" t="s">
        <v>35</v>
      </c>
      <c r="F130" t="s">
        <v>50</v>
      </c>
      <c r="G130">
        <v>12</v>
      </c>
      <c r="H130" t="s">
        <v>355</v>
      </c>
      <c r="I130" t="s">
        <v>114</v>
      </c>
      <c r="J130" t="s">
        <v>446</v>
      </c>
      <c r="K130" t="s">
        <v>497</v>
      </c>
      <c r="L130" t="s">
        <v>1349</v>
      </c>
      <c r="M130">
        <v>7</v>
      </c>
      <c r="N130">
        <v>1</v>
      </c>
      <c r="O130" t="s">
        <v>520</v>
      </c>
      <c r="P130" t="s">
        <v>40</v>
      </c>
      <c r="Q130" t="s">
        <v>53</v>
      </c>
      <c r="R130" t="s">
        <v>41</v>
      </c>
      <c r="U130" t="s">
        <v>118</v>
      </c>
      <c r="V130" t="s">
        <v>43</v>
      </c>
      <c r="W130" t="s">
        <v>43</v>
      </c>
      <c r="Y130" t="s">
        <v>521</v>
      </c>
      <c r="Z130" t="s">
        <v>45</v>
      </c>
      <c r="AA130" t="s">
        <v>522</v>
      </c>
      <c r="AB130" t="s">
        <v>523</v>
      </c>
      <c r="AC130" t="s">
        <v>524</v>
      </c>
      <c r="AD130" t="s">
        <v>525</v>
      </c>
      <c r="AE130" t="s">
        <v>526</v>
      </c>
      <c r="AF130" t="s">
        <v>526</v>
      </c>
      <c r="AG130" t="str">
        <f>TRIM(MID(AF130, FIND(", ", AF130)+2, FIND(", ", AF130, FIND(", ", AF130)+1) - FIND(", ", AF130) - 2))</f>
        <v>Hagenhofweg</v>
      </c>
      <c r="AH130" t="str">
        <f>_xlfn.TEXTBEFORE(_xlfn.TEXTAFTER(AF130, ", ", 2), " ")</f>
        <v>74544</v>
      </c>
      <c r="AI130" t="str">
        <f>_xlfn.TEXTAFTER(_xlfn.TEXTAFTER(AF130, ", ", 2), " ")</f>
        <v>Michelbach an der Bilz</v>
      </c>
    </row>
    <row r="131" spans="1:35" x14ac:dyDescent="0.2">
      <c r="A131" t="str">
        <f>B131&amp;C131&amp;H131&amp;N131</f>
        <v>35000210TSV BrettachB-Junioren1</v>
      </c>
      <c r="B131" t="s">
        <v>542</v>
      </c>
      <c r="C131" t="s">
        <v>543</v>
      </c>
      <c r="D131" t="s">
        <v>77</v>
      </c>
      <c r="E131" t="s">
        <v>35</v>
      </c>
      <c r="F131" s="4" t="s">
        <v>50</v>
      </c>
      <c r="G131">
        <v>3</v>
      </c>
      <c r="H131" t="s">
        <v>355</v>
      </c>
      <c r="I131" t="s">
        <v>114</v>
      </c>
      <c r="J131" t="s">
        <v>446</v>
      </c>
      <c r="K131" t="s">
        <v>539</v>
      </c>
      <c r="L131" t="s">
        <v>1352</v>
      </c>
      <c r="M131">
        <v>3</v>
      </c>
      <c r="N131">
        <v>1</v>
      </c>
      <c r="O131" t="s">
        <v>544</v>
      </c>
      <c r="P131" t="s">
        <v>40</v>
      </c>
      <c r="Q131" t="s">
        <v>53</v>
      </c>
      <c r="R131" t="s">
        <v>41</v>
      </c>
      <c r="U131" t="s">
        <v>226</v>
      </c>
      <c r="V131" t="s">
        <v>43</v>
      </c>
      <c r="W131" t="s">
        <v>43</v>
      </c>
      <c r="Y131" t="s">
        <v>545</v>
      </c>
      <c r="Z131" t="s">
        <v>45</v>
      </c>
      <c r="AA131" t="s">
        <v>546</v>
      </c>
      <c r="AB131" t="s">
        <v>43</v>
      </c>
      <c r="AC131" t="s">
        <v>43</v>
      </c>
      <c r="AD131" t="s">
        <v>43</v>
      </c>
      <c r="AE131" t="s">
        <v>43</v>
      </c>
      <c r="AF131" t="str">
        <f>AA131</f>
        <v>Brettach Rasen 1, Cleversulzbacher Str., 74243 Langenbrettach-Brettach</v>
      </c>
      <c r="AG131" t="str">
        <f>TRIM(MID(AF131, FIND(", ", AF131)+2, FIND(", ", AF131, FIND(", ", AF131)+1) - FIND(", ", AF131) - 2))</f>
        <v>Cleversulzbacher Str.</v>
      </c>
      <c r="AH131" t="str">
        <f>_xlfn.TEXTBEFORE(_xlfn.TEXTAFTER(AF131, ", ", 2), " ")</f>
        <v>74243</v>
      </c>
      <c r="AI131" t="str">
        <f>_xlfn.TEXTAFTER(_xlfn.TEXTAFTER(AF131, ", ", 2), " ")</f>
        <v>Langenbrettach-Brettach</v>
      </c>
    </row>
    <row r="132" spans="1:35" x14ac:dyDescent="0.2">
      <c r="A132" t="str">
        <f>B132&amp;C132&amp;H132&amp;N132</f>
        <v>35000932VfB NeuhüttenB-Junioren1</v>
      </c>
      <c r="B132" t="s">
        <v>302</v>
      </c>
      <c r="C132" t="s">
        <v>303</v>
      </c>
      <c r="D132" t="s">
        <v>66</v>
      </c>
      <c r="E132" t="s">
        <v>35</v>
      </c>
      <c r="F132" t="s">
        <v>50</v>
      </c>
      <c r="G132">
        <v>3</v>
      </c>
      <c r="H132" t="s">
        <v>355</v>
      </c>
      <c r="I132" t="s">
        <v>114</v>
      </c>
      <c r="J132" t="s">
        <v>446</v>
      </c>
      <c r="K132" t="s">
        <v>539</v>
      </c>
      <c r="L132" t="s">
        <v>1352</v>
      </c>
      <c r="M132">
        <v>1</v>
      </c>
      <c r="N132">
        <v>1</v>
      </c>
      <c r="O132" t="s">
        <v>304</v>
      </c>
      <c r="P132" t="s">
        <v>40</v>
      </c>
      <c r="Q132" t="s">
        <v>53</v>
      </c>
      <c r="R132" t="s">
        <v>41</v>
      </c>
      <c r="U132" t="s">
        <v>226</v>
      </c>
      <c r="V132" t="s">
        <v>43</v>
      </c>
      <c r="W132" t="s">
        <v>43</v>
      </c>
      <c r="Y132" t="s">
        <v>555</v>
      </c>
      <c r="Z132" t="s">
        <v>45</v>
      </c>
      <c r="AA132" t="s">
        <v>305</v>
      </c>
      <c r="AB132" t="s">
        <v>43</v>
      </c>
      <c r="AC132" t="s">
        <v>43</v>
      </c>
      <c r="AD132" t="s">
        <v>43</v>
      </c>
      <c r="AE132" t="s">
        <v>43</v>
      </c>
      <c r="AF132" t="str">
        <f>AA132</f>
        <v>Wüstenrot Waldsportplatz Kunstrasen, Sportgaststätte FV Wüstenrot, 71543 Wüstenrot</v>
      </c>
      <c r="AG132" t="str">
        <f>TRIM(MID(AF132, FIND(", ", AF132)+2, FIND(", ", AF132, FIND(", ", AF132)+1) - FIND(", ", AF132) - 2))</f>
        <v>Sportgaststätte FV Wüstenrot</v>
      </c>
      <c r="AH132" t="str">
        <f>_xlfn.TEXTBEFORE(_xlfn.TEXTAFTER(AF132, ", ", 2), " ")</f>
        <v>71543</v>
      </c>
      <c r="AI132" t="str">
        <f>_xlfn.TEXTAFTER(_xlfn.TEXTAFTER(AF132, ", ", 2), " ")</f>
        <v>Wüstenrot</v>
      </c>
    </row>
    <row r="133" spans="1:35" x14ac:dyDescent="0.2">
      <c r="A133" t="str">
        <f>B133&amp;C133&amp;H133&amp;N133</f>
        <v>35001020TSV OhrnbergB-Junioren1</v>
      </c>
      <c r="B133" t="s">
        <v>549</v>
      </c>
      <c r="C133" t="s">
        <v>550</v>
      </c>
      <c r="D133" t="s">
        <v>66</v>
      </c>
      <c r="E133" t="s">
        <v>35</v>
      </c>
      <c r="F133" t="s">
        <v>50</v>
      </c>
      <c r="G133">
        <v>3</v>
      </c>
      <c r="H133" t="s">
        <v>355</v>
      </c>
      <c r="I133" t="s">
        <v>114</v>
      </c>
      <c r="J133" t="s">
        <v>446</v>
      </c>
      <c r="K133" t="s">
        <v>539</v>
      </c>
      <c r="L133" t="s">
        <v>1352</v>
      </c>
      <c r="M133">
        <v>5</v>
      </c>
      <c r="N133">
        <v>1</v>
      </c>
      <c r="O133" t="s">
        <v>551</v>
      </c>
      <c r="P133" t="s">
        <v>40</v>
      </c>
      <c r="Q133" t="s">
        <v>40</v>
      </c>
      <c r="R133" t="s">
        <v>41</v>
      </c>
      <c r="U133" t="s">
        <v>118</v>
      </c>
      <c r="V133" t="s">
        <v>43</v>
      </c>
      <c r="W133" t="s">
        <v>43</v>
      </c>
      <c r="Y133" t="s">
        <v>43</v>
      </c>
      <c r="Z133" t="s">
        <v>45</v>
      </c>
      <c r="AA133" t="s">
        <v>552</v>
      </c>
      <c r="AB133" t="s">
        <v>43</v>
      </c>
      <c r="AC133" t="s">
        <v>43</v>
      </c>
      <c r="AD133" t="s">
        <v>43</v>
      </c>
      <c r="AE133" t="s">
        <v>43</v>
      </c>
      <c r="AF133" t="str">
        <f>AA133</f>
        <v>Kochertalstadion Ohrnberg, Seehäldenweg 12, 74613 Ohrnberg-Ohrnberg</v>
      </c>
      <c r="AG133" t="str">
        <f>TRIM(MID(AF133, FIND(", ", AF133)+2, FIND(", ", AF133, FIND(", ", AF133)+1) - FIND(", ", AF133) - 2))</f>
        <v>Seehäldenweg 12</v>
      </c>
      <c r="AH133" t="str">
        <f>_xlfn.TEXTBEFORE(_xlfn.TEXTAFTER(AF133, ", ", 2), " ")</f>
        <v>74613</v>
      </c>
      <c r="AI133" t="str">
        <f>_xlfn.TEXTAFTER(_xlfn.TEXTAFTER(AF133, ", ", 2), " ")</f>
        <v>Ohrnberg-Ohrnberg</v>
      </c>
    </row>
    <row r="134" spans="1:35" x14ac:dyDescent="0.2">
      <c r="A134" t="str">
        <f>B134&amp;C134&amp;H134&amp;N134</f>
        <v>35001044TSV PfedelbachB-Junioren2</v>
      </c>
      <c r="B134" t="s">
        <v>425</v>
      </c>
      <c r="C134" t="s">
        <v>426</v>
      </c>
      <c r="D134" t="s">
        <v>66</v>
      </c>
      <c r="E134" t="s">
        <v>35</v>
      </c>
      <c r="F134" t="s">
        <v>50</v>
      </c>
      <c r="G134">
        <v>3</v>
      </c>
      <c r="H134" t="s">
        <v>355</v>
      </c>
      <c r="I134" t="s">
        <v>114</v>
      </c>
      <c r="J134" t="s">
        <v>446</v>
      </c>
      <c r="K134" t="s">
        <v>539</v>
      </c>
      <c r="L134" t="s">
        <v>1352</v>
      </c>
      <c r="M134">
        <v>2</v>
      </c>
      <c r="N134">
        <v>2</v>
      </c>
      <c r="O134" t="s">
        <v>553</v>
      </c>
      <c r="P134" t="s">
        <v>40</v>
      </c>
      <c r="Q134" t="s">
        <v>40</v>
      </c>
      <c r="R134" t="s">
        <v>41</v>
      </c>
      <c r="U134" t="s">
        <v>118</v>
      </c>
      <c r="V134" t="s">
        <v>43</v>
      </c>
      <c r="W134" t="s">
        <v>43</v>
      </c>
      <c r="Y134" t="s">
        <v>554</v>
      </c>
      <c r="Z134" t="s">
        <v>45</v>
      </c>
      <c r="AA134" t="s">
        <v>431</v>
      </c>
      <c r="AB134" t="s">
        <v>43</v>
      </c>
      <c r="AC134" t="s">
        <v>43</v>
      </c>
      <c r="AD134" t="s">
        <v>43</v>
      </c>
      <c r="AE134" t="s">
        <v>43</v>
      </c>
      <c r="AF134" t="str">
        <f>AA134</f>
        <v>Sportplatz TSV Pfedelbach , Hohenlohe Allee 9, 74629 Pfedelbach-Zentrum</v>
      </c>
      <c r="AG134" t="str">
        <f>TRIM(MID(AF134, FIND(", ", AF134)+2, FIND(", ", AF134, FIND(", ", AF134)+1) - FIND(", ", AF134) - 2))</f>
        <v>Hohenlohe Allee 9</v>
      </c>
      <c r="AH134" t="str">
        <f>_xlfn.TEXTBEFORE(_xlfn.TEXTAFTER(AF134, ", ", 2), " ")</f>
        <v>74629</v>
      </c>
      <c r="AI134" t="str">
        <f>_xlfn.TEXTAFTER(_xlfn.TEXTAFTER(AF134, ", ", 2), " ")</f>
        <v>Pfedelbach-Zentrum</v>
      </c>
    </row>
    <row r="135" spans="1:35" x14ac:dyDescent="0.2">
      <c r="A135" t="str">
        <f>B135&amp;C135&amp;H135&amp;N135</f>
        <v>35000944TSV NiedernhallB-Junioren2</v>
      </c>
      <c r="B135" t="s">
        <v>531</v>
      </c>
      <c r="C135" t="s">
        <v>532</v>
      </c>
      <c r="D135" t="s">
        <v>49</v>
      </c>
      <c r="E135" t="s">
        <v>35</v>
      </c>
      <c r="F135" t="s">
        <v>50</v>
      </c>
      <c r="G135">
        <v>3</v>
      </c>
      <c r="H135" t="s">
        <v>355</v>
      </c>
      <c r="I135" t="s">
        <v>114</v>
      </c>
      <c r="J135" t="s">
        <v>446</v>
      </c>
      <c r="K135" t="s">
        <v>539</v>
      </c>
      <c r="L135" t="s">
        <v>1352</v>
      </c>
      <c r="M135">
        <v>4</v>
      </c>
      <c r="N135">
        <v>2</v>
      </c>
      <c r="O135" t="s">
        <v>547</v>
      </c>
      <c r="P135" t="s">
        <v>40</v>
      </c>
      <c r="Q135" t="s">
        <v>40</v>
      </c>
      <c r="R135" t="s">
        <v>41</v>
      </c>
      <c r="U135" t="s">
        <v>226</v>
      </c>
      <c r="V135" t="s">
        <v>43</v>
      </c>
      <c r="W135" t="s">
        <v>43</v>
      </c>
      <c r="Y135" t="s">
        <v>548</v>
      </c>
      <c r="Z135" t="s">
        <v>45</v>
      </c>
      <c r="AA135" t="s">
        <v>534</v>
      </c>
      <c r="AB135" t="s">
        <v>432</v>
      </c>
      <c r="AC135" t="s">
        <v>535</v>
      </c>
      <c r="AD135" t="s">
        <v>43</v>
      </c>
      <c r="AE135" t="s">
        <v>43</v>
      </c>
      <c r="AF135" t="str">
        <f>AC135</f>
        <v>Sportplatz Weissbach, Lindenstr., 74679 Weißbach-Zentrum</v>
      </c>
      <c r="AG135" t="str">
        <f>TRIM(MID(AF135, FIND(", ", AF135)+2, FIND(", ", AF135, FIND(", ", AF135)+1) - FIND(", ", AF135) - 2))</f>
        <v>Lindenstr.</v>
      </c>
      <c r="AH135" t="str">
        <f>_xlfn.TEXTBEFORE(_xlfn.TEXTAFTER(AF135, ", ", 2), " ")</f>
        <v>74679</v>
      </c>
      <c r="AI135" t="str">
        <f>_xlfn.TEXTAFTER(_xlfn.TEXTAFTER(AF135, ", ", 2), " ")</f>
        <v>Weißbach-Zentrum</v>
      </c>
    </row>
    <row r="136" spans="1:35" x14ac:dyDescent="0.2">
      <c r="A136" t="str">
        <f>B136&amp;C136&amp;H136&amp;N136</f>
        <v>35002159FV KünzelsauB-Junioren1</v>
      </c>
      <c r="B136" t="s">
        <v>537</v>
      </c>
      <c r="C136" t="s">
        <v>538</v>
      </c>
      <c r="D136" t="s">
        <v>49</v>
      </c>
      <c r="E136" t="s">
        <v>35</v>
      </c>
      <c r="F136" t="s">
        <v>50</v>
      </c>
      <c r="G136">
        <v>3</v>
      </c>
      <c r="H136" t="s">
        <v>355</v>
      </c>
      <c r="I136" t="s">
        <v>114</v>
      </c>
      <c r="J136" t="s">
        <v>446</v>
      </c>
      <c r="K136" t="s">
        <v>539</v>
      </c>
      <c r="L136" t="s">
        <v>1352</v>
      </c>
      <c r="M136">
        <v>6</v>
      </c>
      <c r="N136">
        <v>1</v>
      </c>
      <c r="O136" t="s">
        <v>540</v>
      </c>
      <c r="P136" t="s">
        <v>40</v>
      </c>
      <c r="Q136" t="s">
        <v>53</v>
      </c>
      <c r="R136" t="s">
        <v>41</v>
      </c>
      <c r="U136" t="s">
        <v>226</v>
      </c>
      <c r="V136" t="s">
        <v>43</v>
      </c>
      <c r="W136" t="s">
        <v>43</v>
      </c>
      <c r="Y136" t="s">
        <v>43</v>
      </c>
      <c r="Z136" t="s">
        <v>45</v>
      </c>
      <c r="AA136" t="s">
        <v>541</v>
      </c>
      <c r="AB136" t="s">
        <v>43</v>
      </c>
      <c r="AC136" t="s">
        <v>43</v>
      </c>
      <c r="AD136" t="s">
        <v>43</v>
      </c>
      <c r="AE136" t="s">
        <v>43</v>
      </c>
      <c r="AF136" t="str">
        <f>AA136</f>
        <v>Kunstrasenplatz FV Künzelsau, Hallstattweg 36, 74653 Künzelsau-Zentrum</v>
      </c>
      <c r="AG136" t="str">
        <f>TRIM(MID(AF136, FIND(", ", AF136)+2, FIND(", ", AF136, FIND(", ", AF136)+1) - FIND(", ", AF136) - 2))</f>
        <v>Hallstattweg 36</v>
      </c>
      <c r="AH136" t="str">
        <f>_xlfn.TEXTBEFORE(_xlfn.TEXTAFTER(AF136, ", ", 2), " ")</f>
        <v>74653</v>
      </c>
      <c r="AI136" t="str">
        <f>_xlfn.TEXTAFTER(_xlfn.TEXTAFTER(AF136, ", ", 2), " ")</f>
        <v>Künzelsau-Zentrum</v>
      </c>
    </row>
    <row r="137" spans="1:35" x14ac:dyDescent="0.2">
      <c r="A137" t="str">
        <f>B137&amp;C137&amp;H137&amp;N137</f>
        <v>35000239FC CreglingenB-Junioren1</v>
      </c>
      <c r="B137" t="s">
        <v>311</v>
      </c>
      <c r="C137" t="s">
        <v>312</v>
      </c>
      <c r="D137" t="s">
        <v>204</v>
      </c>
      <c r="E137" t="s">
        <v>35</v>
      </c>
      <c r="F137" t="s">
        <v>50</v>
      </c>
      <c r="G137">
        <v>3</v>
      </c>
      <c r="H137" t="s">
        <v>355</v>
      </c>
      <c r="I137" t="s">
        <v>114</v>
      </c>
      <c r="J137" t="s">
        <v>446</v>
      </c>
      <c r="K137" t="s">
        <v>556</v>
      </c>
      <c r="L137" t="s">
        <v>1351</v>
      </c>
      <c r="M137">
        <v>3</v>
      </c>
      <c r="N137">
        <v>1</v>
      </c>
      <c r="O137" t="s">
        <v>557</v>
      </c>
      <c r="P137" t="s">
        <v>40</v>
      </c>
      <c r="Q137" t="s">
        <v>40</v>
      </c>
      <c r="R137" t="s">
        <v>41</v>
      </c>
      <c r="U137" t="s">
        <v>226</v>
      </c>
      <c r="V137" t="s">
        <v>43</v>
      </c>
      <c r="W137" t="s">
        <v>43</v>
      </c>
      <c r="Y137" t="s">
        <v>43</v>
      </c>
      <c r="Z137" t="s">
        <v>45</v>
      </c>
      <c r="AA137" t="s">
        <v>315</v>
      </c>
      <c r="AB137" t="s">
        <v>43</v>
      </c>
      <c r="AC137" t="s">
        <v>43</v>
      </c>
      <c r="AD137" t="s">
        <v>43</v>
      </c>
      <c r="AE137" t="s">
        <v>43</v>
      </c>
      <c r="AF137" t="str">
        <f>AA137</f>
        <v>Sportplatz 1 FC Creglingen, Rothenburger Str., 97993 Creglingen-Zentrum</v>
      </c>
      <c r="AG137" t="str">
        <f>TRIM(MID(AF137, FIND(", ", AF137)+2, FIND(", ", AF137, FIND(", ", AF137)+1) - FIND(", ", AF137) - 2))</f>
        <v>Rothenburger Str.</v>
      </c>
      <c r="AH137" t="str">
        <f>_xlfn.TEXTBEFORE(_xlfn.TEXTAFTER(AF137, ", ", 2), " ")</f>
        <v>97993</v>
      </c>
      <c r="AI137" t="str">
        <f>_xlfn.TEXTAFTER(_xlfn.TEXTAFTER(AF137, ", ", 2), " ")</f>
        <v>Creglingen-Zentrum</v>
      </c>
    </row>
    <row r="138" spans="1:35" x14ac:dyDescent="0.2">
      <c r="A138" t="str">
        <f>B138&amp;C138&amp;H138&amp;N138</f>
        <v>35000946TV NiederstettenB-Junioren1</v>
      </c>
      <c r="B138" t="s">
        <v>329</v>
      </c>
      <c r="C138" t="s">
        <v>330</v>
      </c>
      <c r="D138" t="s">
        <v>204</v>
      </c>
      <c r="E138" t="s">
        <v>35</v>
      </c>
      <c r="F138" t="s">
        <v>50</v>
      </c>
      <c r="G138">
        <v>3</v>
      </c>
      <c r="H138" t="s">
        <v>355</v>
      </c>
      <c r="I138" t="s">
        <v>114</v>
      </c>
      <c r="J138" t="s">
        <v>446</v>
      </c>
      <c r="K138" t="s">
        <v>556</v>
      </c>
      <c r="L138" t="s">
        <v>1351</v>
      </c>
      <c r="M138">
        <v>2</v>
      </c>
      <c r="N138">
        <v>1</v>
      </c>
      <c r="O138" t="s">
        <v>331</v>
      </c>
      <c r="P138" t="s">
        <v>40</v>
      </c>
      <c r="Q138" t="s">
        <v>40</v>
      </c>
      <c r="R138" t="s">
        <v>41</v>
      </c>
      <c r="U138" t="s">
        <v>118</v>
      </c>
      <c r="V138" t="s">
        <v>43</v>
      </c>
      <c r="W138" t="s">
        <v>43</v>
      </c>
      <c r="Y138" t="s">
        <v>43</v>
      </c>
      <c r="Z138" t="s">
        <v>45</v>
      </c>
      <c r="AA138" t="s">
        <v>333</v>
      </c>
      <c r="AB138" t="s">
        <v>43</v>
      </c>
      <c r="AC138" t="s">
        <v>43</v>
      </c>
      <c r="AD138" t="s">
        <v>43</v>
      </c>
      <c r="AE138" t="s">
        <v>43</v>
      </c>
      <c r="AF138" t="str">
        <f>AA138</f>
        <v>Burgwiesenstadion, Kanalweg, 97996 Niederstetten-Zentrum</v>
      </c>
      <c r="AG138" t="str">
        <f>TRIM(MID(AF138, FIND(", ", AF138)+2, FIND(", ", AF138, FIND(", ", AF138)+1) - FIND(", ", AF138) - 2))</f>
        <v>Kanalweg</v>
      </c>
      <c r="AH138" t="str">
        <f>_xlfn.TEXTBEFORE(_xlfn.TEXTAFTER(AF138, ", ", 2), " ")</f>
        <v>97996</v>
      </c>
      <c r="AI138" t="str">
        <f>_xlfn.TEXTAFTER(_xlfn.TEXTAFTER(AF138, ", ", 2), " ")</f>
        <v>Niederstetten-Zentrum</v>
      </c>
    </row>
    <row r="139" spans="1:35" x14ac:dyDescent="0.2">
      <c r="A139" t="str">
        <f>B139&amp;C139&amp;H139&amp;N139</f>
        <v>35001441SV WachbachB-Junioren1</v>
      </c>
      <c r="B139" t="s">
        <v>558</v>
      </c>
      <c r="C139" t="s">
        <v>559</v>
      </c>
      <c r="D139" t="s">
        <v>204</v>
      </c>
      <c r="E139" t="s">
        <v>35</v>
      </c>
      <c r="F139" t="s">
        <v>50</v>
      </c>
      <c r="G139">
        <v>3</v>
      </c>
      <c r="H139" t="s">
        <v>355</v>
      </c>
      <c r="I139" t="s">
        <v>114</v>
      </c>
      <c r="J139" t="s">
        <v>446</v>
      </c>
      <c r="K139" t="s">
        <v>556</v>
      </c>
      <c r="L139" t="s">
        <v>1351</v>
      </c>
      <c r="M139">
        <v>1</v>
      </c>
      <c r="N139">
        <v>1</v>
      </c>
      <c r="O139" t="s">
        <v>560</v>
      </c>
      <c r="P139" t="s">
        <v>40</v>
      </c>
      <c r="Q139" t="s">
        <v>40</v>
      </c>
      <c r="R139" t="s">
        <v>41</v>
      </c>
      <c r="U139" t="s">
        <v>226</v>
      </c>
      <c r="V139" t="s">
        <v>43</v>
      </c>
      <c r="W139" t="s">
        <v>43</v>
      </c>
      <c r="Y139" t="s">
        <v>561</v>
      </c>
      <c r="Z139" t="s">
        <v>45</v>
      </c>
      <c r="AA139" t="s">
        <v>562</v>
      </c>
      <c r="AB139" t="s">
        <v>43</v>
      </c>
      <c r="AC139" t="s">
        <v>43</v>
      </c>
      <c r="AD139" t="s">
        <v>43</v>
      </c>
      <c r="AE139" t="s">
        <v>43</v>
      </c>
      <c r="AF139" t="str">
        <f>AA139</f>
        <v>Sportpark im Erpfental, Erpfentalstr. 6, 97980 Bad Mergentheim-Wachbach</v>
      </c>
      <c r="AG139" t="str">
        <f>TRIM(MID(AF139, FIND(", ", AF139)+2, FIND(", ", AF139, FIND(", ", AF139)+1) - FIND(", ", AF139) - 2))</f>
        <v>Erpfentalstr. 6</v>
      </c>
      <c r="AH139" t="str">
        <f>_xlfn.TEXTBEFORE(_xlfn.TEXTAFTER(AF139, ", ", 2), " ")</f>
        <v>97980</v>
      </c>
      <c r="AI139" t="str">
        <f>_xlfn.TEXTAFTER(_xlfn.TEXTAFTER(AF139, ", ", 2), " ")</f>
        <v>Bad Mergentheim-Wachbach</v>
      </c>
    </row>
    <row r="140" spans="1:35" x14ac:dyDescent="0.2">
      <c r="A140" t="str">
        <f>B140&amp;C140&amp;H140&amp;N140</f>
        <v>35001478TSV WeikersheimB-Junioren1</v>
      </c>
      <c r="B140" t="s">
        <v>325</v>
      </c>
      <c r="C140" t="s">
        <v>326</v>
      </c>
      <c r="D140" t="s">
        <v>204</v>
      </c>
      <c r="E140" t="s">
        <v>35</v>
      </c>
      <c r="F140" t="s">
        <v>50</v>
      </c>
      <c r="G140">
        <v>3</v>
      </c>
      <c r="H140" t="s">
        <v>355</v>
      </c>
      <c r="I140" t="s">
        <v>114</v>
      </c>
      <c r="J140" t="s">
        <v>446</v>
      </c>
      <c r="K140" t="s">
        <v>556</v>
      </c>
      <c r="L140" t="s">
        <v>1351</v>
      </c>
      <c r="M140">
        <v>4</v>
      </c>
      <c r="N140">
        <v>1</v>
      </c>
      <c r="O140" t="s">
        <v>563</v>
      </c>
      <c r="P140" t="s">
        <v>40</v>
      </c>
      <c r="Q140" t="s">
        <v>40</v>
      </c>
      <c r="R140" t="s">
        <v>41</v>
      </c>
      <c r="U140" t="s">
        <v>118</v>
      </c>
      <c r="V140" t="s">
        <v>43</v>
      </c>
      <c r="W140" t="s">
        <v>43</v>
      </c>
      <c r="Y140" t="s">
        <v>43</v>
      </c>
      <c r="Z140" t="s">
        <v>45</v>
      </c>
      <c r="AA140" t="s">
        <v>564</v>
      </c>
      <c r="AB140" t="s">
        <v>43</v>
      </c>
      <c r="AC140" t="s">
        <v>43</v>
      </c>
      <c r="AD140" t="s">
        <v>43</v>
      </c>
      <c r="AE140" t="s">
        <v>43</v>
      </c>
      <c r="AF140" t="str">
        <f>AA140</f>
        <v>Sportplatz 1 TSV Laudenbach, Seewiese 2, 97990 Laudenbach</v>
      </c>
      <c r="AG140" t="str">
        <f>TRIM(MID(AF140, FIND(", ", AF140)+2, FIND(", ", AF140, FIND(", ", AF140)+1) - FIND(", ", AF140) - 2))</f>
        <v>Seewiese 2</v>
      </c>
      <c r="AH140" t="str">
        <f>_xlfn.TEXTBEFORE(_xlfn.TEXTAFTER(AF140, ", ", 2), " ")</f>
        <v>97990</v>
      </c>
      <c r="AI140" t="str">
        <f>_xlfn.TEXTAFTER(_xlfn.TEXTAFTER(AF140, ", ", 2), " ")</f>
        <v>Laudenbach</v>
      </c>
    </row>
    <row r="141" spans="1:35" x14ac:dyDescent="0.2">
      <c r="A141" t="str">
        <f>B141&amp;C141&amp;H141&amp;N141</f>
        <v>35000838FC MatzenbachB-Junioren1</v>
      </c>
      <c r="B141" t="s">
        <v>566</v>
      </c>
      <c r="C141" t="s">
        <v>567</v>
      </c>
      <c r="D141" t="s">
        <v>103</v>
      </c>
      <c r="E141" t="s">
        <v>35</v>
      </c>
      <c r="F141" t="s">
        <v>50</v>
      </c>
      <c r="G141">
        <v>12</v>
      </c>
      <c r="H141" t="s">
        <v>355</v>
      </c>
      <c r="I141" t="s">
        <v>114</v>
      </c>
      <c r="J141" t="s">
        <v>446</v>
      </c>
      <c r="K141" t="s">
        <v>565</v>
      </c>
      <c r="L141" t="s">
        <v>1350</v>
      </c>
      <c r="M141">
        <v>6</v>
      </c>
      <c r="N141">
        <v>1</v>
      </c>
      <c r="O141" t="s">
        <v>568</v>
      </c>
      <c r="P141" t="s">
        <v>40</v>
      </c>
      <c r="Q141" t="s">
        <v>53</v>
      </c>
      <c r="R141" t="s">
        <v>41</v>
      </c>
      <c r="U141" t="s">
        <v>226</v>
      </c>
      <c r="V141" t="s">
        <v>43</v>
      </c>
      <c r="W141" t="s">
        <v>43</v>
      </c>
      <c r="Y141" t="s">
        <v>569</v>
      </c>
      <c r="Z141" t="s">
        <v>45</v>
      </c>
      <c r="AA141" t="s">
        <v>570</v>
      </c>
      <c r="AB141" t="s">
        <v>43</v>
      </c>
      <c r="AC141" t="s">
        <v>43</v>
      </c>
      <c r="AD141" t="s">
        <v>43</v>
      </c>
      <c r="AE141" t="s">
        <v>43</v>
      </c>
      <c r="AF141" t="str">
        <f>AA141</f>
        <v>Sportplatz 1 am Sportzentrum, Sportzentrum 2, 74579 Fichtenau-Matzenbach</v>
      </c>
      <c r="AG141" t="str">
        <f>TRIM(MID(AF141, FIND(", ", AF141)+2, FIND(", ", AF141, FIND(", ", AF141)+1) - FIND(", ", AF141) - 2))</f>
        <v>Sportzentrum 2</v>
      </c>
      <c r="AH141" t="str">
        <f>_xlfn.TEXTBEFORE(_xlfn.TEXTAFTER(AF141, ", ", 2), " ")</f>
        <v>74579</v>
      </c>
      <c r="AI141" t="str">
        <f>_xlfn.TEXTAFTER(_xlfn.TEXTAFTER(AF141, ", ", 2), " ")</f>
        <v>Fichtenau-Matzenbach</v>
      </c>
    </row>
    <row r="142" spans="1:35" x14ac:dyDescent="0.2">
      <c r="A142" t="str">
        <f>B142&amp;C142&amp;H142&amp;N142</f>
        <v>35001508SV WestgartshausenB-Junioren1</v>
      </c>
      <c r="B142" t="s">
        <v>580</v>
      </c>
      <c r="C142" t="s">
        <v>581</v>
      </c>
      <c r="D142" t="s">
        <v>103</v>
      </c>
      <c r="E142" t="s">
        <v>35</v>
      </c>
      <c r="F142" t="s">
        <v>50</v>
      </c>
      <c r="G142">
        <v>12</v>
      </c>
      <c r="H142" t="s">
        <v>355</v>
      </c>
      <c r="I142" t="s">
        <v>114</v>
      </c>
      <c r="J142" t="s">
        <v>446</v>
      </c>
      <c r="K142" t="s">
        <v>565</v>
      </c>
      <c r="L142" t="s">
        <v>1350</v>
      </c>
      <c r="M142">
        <v>4</v>
      </c>
      <c r="N142">
        <v>1</v>
      </c>
      <c r="O142" t="s">
        <v>582</v>
      </c>
      <c r="P142" t="s">
        <v>40</v>
      </c>
      <c r="Q142" t="s">
        <v>40</v>
      </c>
      <c r="R142" t="s">
        <v>41</v>
      </c>
      <c r="U142" t="s">
        <v>118</v>
      </c>
      <c r="V142" t="s">
        <v>43</v>
      </c>
      <c r="W142" t="s">
        <v>43</v>
      </c>
      <c r="Y142" t="s">
        <v>43</v>
      </c>
      <c r="Z142" t="s">
        <v>45</v>
      </c>
      <c r="AA142" t="s">
        <v>583</v>
      </c>
      <c r="AB142" t="s">
        <v>95</v>
      </c>
      <c r="AC142" t="s">
        <v>584</v>
      </c>
      <c r="AD142" t="s">
        <v>43</v>
      </c>
      <c r="AE142" t="s">
        <v>43</v>
      </c>
      <c r="AF142" t="str">
        <f>AC142</f>
        <v>Sportplatz 1 SV Tiefenbach, Eulenbergweg 29, 74564 Crailsheim-Tiefenbach</v>
      </c>
      <c r="AG142" t="str">
        <f>TRIM(MID(AF142, FIND(", ", AF142)+2, FIND(", ", AF142, FIND(", ", AF142)+1) - FIND(", ", AF142) - 2))</f>
        <v>Eulenbergweg 29</v>
      </c>
      <c r="AH142" t="str">
        <f>_xlfn.TEXTBEFORE(_xlfn.TEXTAFTER(AF142, ", ", 2), " ")</f>
        <v>74564</v>
      </c>
      <c r="AI142" t="str">
        <f>_xlfn.TEXTAFTER(_xlfn.TEXTAFTER(AF142, ", ", 2), " ")</f>
        <v>Crailsheim-Tiefenbach</v>
      </c>
    </row>
    <row r="143" spans="1:35" x14ac:dyDescent="0.2">
      <c r="A143" t="str">
        <f>B143&amp;C143&amp;H143&amp;N143</f>
        <v>35000534SSV Schwäbisch HallB-Junioren1</v>
      </c>
      <c r="B143" t="s">
        <v>180</v>
      </c>
      <c r="C143" t="s">
        <v>181</v>
      </c>
      <c r="D143" t="s">
        <v>58</v>
      </c>
      <c r="E143" t="s">
        <v>35</v>
      </c>
      <c r="F143" t="s">
        <v>50</v>
      </c>
      <c r="G143">
        <v>12</v>
      </c>
      <c r="H143" t="s">
        <v>355</v>
      </c>
      <c r="I143" t="s">
        <v>114</v>
      </c>
      <c r="J143" t="s">
        <v>446</v>
      </c>
      <c r="K143" t="s">
        <v>565</v>
      </c>
      <c r="L143" t="s">
        <v>1350</v>
      </c>
      <c r="M143">
        <v>7</v>
      </c>
      <c r="N143">
        <v>1</v>
      </c>
      <c r="O143" t="s">
        <v>181</v>
      </c>
      <c r="P143" t="s">
        <v>40</v>
      </c>
      <c r="Q143" t="s">
        <v>40</v>
      </c>
      <c r="R143" t="s">
        <v>41</v>
      </c>
      <c r="U143" t="s">
        <v>118</v>
      </c>
      <c r="V143" t="s">
        <v>43</v>
      </c>
      <c r="W143" t="s">
        <v>43</v>
      </c>
      <c r="Y143" t="s">
        <v>43</v>
      </c>
      <c r="Z143" t="s">
        <v>45</v>
      </c>
      <c r="AA143" t="s">
        <v>183</v>
      </c>
      <c r="AB143" t="s">
        <v>43</v>
      </c>
      <c r="AC143" t="s">
        <v>43</v>
      </c>
      <c r="AD143" t="s">
        <v>43</v>
      </c>
      <c r="AE143" t="s">
        <v>43</v>
      </c>
      <c r="AF143" t="str">
        <f>AA143</f>
        <v>Sportplatz 1 SSV SHA, Breiteichstr. 49, 74523 Schwäbisch Hall</v>
      </c>
      <c r="AG143" t="str">
        <f>TRIM(MID(AF143, FIND(", ", AF143)+2, FIND(", ", AF143, FIND(", ", AF143)+1) - FIND(", ", AF143) - 2))</f>
        <v>Breiteichstr. 49</v>
      </c>
      <c r="AH143" t="str">
        <f>_xlfn.TEXTBEFORE(_xlfn.TEXTAFTER(AF143, ", ", 2), " ")</f>
        <v>74523</v>
      </c>
      <c r="AI143" t="str">
        <f>_xlfn.TEXTAFTER(_xlfn.TEXTAFTER(AF143, ", ", 2), " ")</f>
        <v>Schwäbisch Hall</v>
      </c>
    </row>
    <row r="144" spans="1:35" x14ac:dyDescent="0.2">
      <c r="A144" t="str">
        <f>B144&amp;C144&amp;H144&amp;N144</f>
        <v>35000599TSV HessentalB-Junioren1</v>
      </c>
      <c r="B144" t="s">
        <v>576</v>
      </c>
      <c r="C144" t="s">
        <v>577</v>
      </c>
      <c r="D144" t="s">
        <v>58</v>
      </c>
      <c r="E144" t="s">
        <v>35</v>
      </c>
      <c r="F144" t="s">
        <v>50</v>
      </c>
      <c r="G144">
        <v>12</v>
      </c>
      <c r="H144" t="s">
        <v>355</v>
      </c>
      <c r="I144" t="s">
        <v>114</v>
      </c>
      <c r="J144" t="s">
        <v>446</v>
      </c>
      <c r="K144" t="s">
        <v>565</v>
      </c>
      <c r="L144" t="s">
        <v>1350</v>
      </c>
      <c r="M144">
        <v>5</v>
      </c>
      <c r="N144">
        <v>1</v>
      </c>
      <c r="O144" t="s">
        <v>578</v>
      </c>
      <c r="P144" t="s">
        <v>40</v>
      </c>
      <c r="Q144" t="s">
        <v>40</v>
      </c>
      <c r="R144" t="s">
        <v>41</v>
      </c>
      <c r="U144" t="s">
        <v>118</v>
      </c>
      <c r="V144" t="s">
        <v>43</v>
      </c>
      <c r="W144" t="s">
        <v>43</v>
      </c>
      <c r="Y144" t="s">
        <v>43</v>
      </c>
      <c r="Z144" t="s">
        <v>45</v>
      </c>
      <c r="AA144" t="s">
        <v>189</v>
      </c>
      <c r="AB144" t="s">
        <v>95</v>
      </c>
      <c r="AC144" t="s">
        <v>187</v>
      </c>
      <c r="AD144" t="s">
        <v>43</v>
      </c>
      <c r="AE144" t="s">
        <v>43</v>
      </c>
      <c r="AF144" t="str">
        <f>AC144</f>
        <v>Sportplatz 1 TSV Sulzdorf, Ladestr. 5, 74523 Schwäbisch Hall-Sulzdorf</v>
      </c>
      <c r="AG144" t="str">
        <f>TRIM(MID(AF144, FIND(", ", AF144)+2, FIND(", ", AF144, FIND(", ", AF144)+1) - FIND(", ", AF144) - 2))</f>
        <v>Ladestr. 5</v>
      </c>
      <c r="AH144" t="str">
        <f>_xlfn.TEXTBEFORE(_xlfn.TEXTAFTER(AF144, ", ", 2), " ")</f>
        <v>74523</v>
      </c>
      <c r="AI144" t="str">
        <f>_xlfn.TEXTAFTER(_xlfn.TEXTAFTER(AF144, ", ", 2), " ")</f>
        <v>Schwäbisch Hall-Sulzdorf</v>
      </c>
    </row>
    <row r="145" spans="1:35" x14ac:dyDescent="0.2">
      <c r="A145" t="str">
        <f>B145&amp;C145&amp;H145&amp;N145</f>
        <v>35000668TSV IlshofenB-Junioren1</v>
      </c>
      <c r="B145" t="s">
        <v>106</v>
      </c>
      <c r="C145" t="s">
        <v>107</v>
      </c>
      <c r="D145" t="s">
        <v>58</v>
      </c>
      <c r="E145" t="s">
        <v>35</v>
      </c>
      <c r="F145" t="s">
        <v>50</v>
      </c>
      <c r="G145">
        <v>12</v>
      </c>
      <c r="H145" t="s">
        <v>355</v>
      </c>
      <c r="I145" t="s">
        <v>114</v>
      </c>
      <c r="J145" t="s">
        <v>446</v>
      </c>
      <c r="K145" t="s">
        <v>565</v>
      </c>
      <c r="L145" t="s">
        <v>1350</v>
      </c>
      <c r="M145">
        <v>3</v>
      </c>
      <c r="N145">
        <v>1</v>
      </c>
      <c r="O145" t="s">
        <v>585</v>
      </c>
      <c r="P145" t="s">
        <v>40</v>
      </c>
      <c r="Q145" t="s">
        <v>40</v>
      </c>
      <c r="R145" t="s">
        <v>41</v>
      </c>
      <c r="U145" t="s">
        <v>118</v>
      </c>
      <c r="V145" t="s">
        <v>43</v>
      </c>
      <c r="W145" t="s">
        <v>43</v>
      </c>
      <c r="Y145" t="s">
        <v>43</v>
      </c>
      <c r="Z145" t="s">
        <v>45</v>
      </c>
      <c r="AA145" t="s">
        <v>108</v>
      </c>
      <c r="AB145" t="s">
        <v>43</v>
      </c>
      <c r="AC145" t="s">
        <v>43</v>
      </c>
      <c r="AD145" t="s">
        <v>43</v>
      </c>
      <c r="AE145" t="s">
        <v>43</v>
      </c>
      <c r="AF145" t="str">
        <f>AA145</f>
        <v>Kunstrasenplatz TSV Ilshofen, Aspacher Str., 74532 Ilshofen</v>
      </c>
      <c r="AG145" t="str">
        <f>TRIM(MID(AF145, FIND(", ", AF145)+2, FIND(", ", AF145, FIND(", ", AF145)+1) - FIND(", ", AF145) - 2))</f>
        <v>Aspacher Str.</v>
      </c>
      <c r="AH145" t="str">
        <f>_xlfn.TEXTBEFORE(_xlfn.TEXTAFTER(AF145, ", ", 2), " ")</f>
        <v>74532</v>
      </c>
      <c r="AI145" t="str">
        <f>_xlfn.TEXTAFTER(_xlfn.TEXTAFTER(AF145, ", ", 2), " ")</f>
        <v>Ilshofen</v>
      </c>
    </row>
    <row r="146" spans="1:35" x14ac:dyDescent="0.2">
      <c r="A146" t="str">
        <f>B146&amp;C146&amp;H146&amp;N146</f>
        <v>35000822VfL MainhardtB-Junioren2</v>
      </c>
      <c r="B146" t="s">
        <v>433</v>
      </c>
      <c r="C146" t="s">
        <v>434</v>
      </c>
      <c r="D146" t="s">
        <v>58</v>
      </c>
      <c r="E146" t="s">
        <v>35</v>
      </c>
      <c r="F146" t="s">
        <v>50</v>
      </c>
      <c r="G146">
        <v>12</v>
      </c>
      <c r="H146" t="s">
        <v>355</v>
      </c>
      <c r="I146" t="s">
        <v>114</v>
      </c>
      <c r="J146" t="s">
        <v>446</v>
      </c>
      <c r="K146" t="s">
        <v>565</v>
      </c>
      <c r="L146" t="s">
        <v>1350</v>
      </c>
      <c r="M146">
        <v>8</v>
      </c>
      <c r="N146">
        <v>2</v>
      </c>
      <c r="O146" t="s">
        <v>579</v>
      </c>
      <c r="P146" t="s">
        <v>40</v>
      </c>
      <c r="Q146" t="s">
        <v>40</v>
      </c>
      <c r="R146" t="s">
        <v>41</v>
      </c>
      <c r="U146" t="s">
        <v>226</v>
      </c>
      <c r="V146" t="s">
        <v>43</v>
      </c>
      <c r="W146" t="s">
        <v>43</v>
      </c>
      <c r="Y146" t="s">
        <v>43</v>
      </c>
      <c r="Z146" t="s">
        <v>45</v>
      </c>
      <c r="AA146" t="s">
        <v>436</v>
      </c>
      <c r="AB146" t="s">
        <v>43</v>
      </c>
      <c r="AC146" t="s">
        <v>43</v>
      </c>
      <c r="AD146" t="s">
        <v>43</v>
      </c>
      <c r="AE146" t="s">
        <v>43</v>
      </c>
      <c r="AF146" t="str">
        <f>AA146</f>
        <v>Sportplatz 1 an Steinbühlhalle, Steinbühl, 74535 Mainhardt</v>
      </c>
      <c r="AG146" t="str">
        <f>TRIM(MID(AF146, FIND(", ", AF146)+2, FIND(", ", AF146, FIND(", ", AF146)+1) - FIND(", ", AF146) - 2))</f>
        <v>Steinbühl</v>
      </c>
      <c r="AH146" t="str">
        <f>_xlfn.TEXTBEFORE(_xlfn.TEXTAFTER(AF146, ", ", 2), " ")</f>
        <v>74535</v>
      </c>
      <c r="AI146" t="str">
        <f>_xlfn.TEXTAFTER(_xlfn.TEXTAFTER(AF146, ", ", 2), " ")</f>
        <v>Mainhardt</v>
      </c>
    </row>
    <row r="147" spans="1:35" x14ac:dyDescent="0.2">
      <c r="A147" t="str">
        <f>B147&amp;C147&amp;H147&amp;N147</f>
        <v>35001032FC OttendorfB-Junioren1</v>
      </c>
      <c r="B147" t="s">
        <v>571</v>
      </c>
      <c r="C147" t="s">
        <v>572</v>
      </c>
      <c r="D147" t="s">
        <v>58</v>
      </c>
      <c r="E147" t="s">
        <v>35</v>
      </c>
      <c r="F147" t="s">
        <v>50</v>
      </c>
      <c r="G147">
        <v>12</v>
      </c>
      <c r="H147" t="s">
        <v>355</v>
      </c>
      <c r="I147" t="s">
        <v>114</v>
      </c>
      <c r="J147" t="s">
        <v>446</v>
      </c>
      <c r="K147" t="s">
        <v>565</v>
      </c>
      <c r="L147" t="s">
        <v>1350</v>
      </c>
      <c r="M147">
        <v>2</v>
      </c>
      <c r="N147">
        <v>1</v>
      </c>
      <c r="O147" t="s">
        <v>573</v>
      </c>
      <c r="P147" t="s">
        <v>40</v>
      </c>
      <c r="Q147" t="s">
        <v>40</v>
      </c>
      <c r="R147" t="s">
        <v>41</v>
      </c>
      <c r="U147" t="s">
        <v>118</v>
      </c>
      <c r="V147" t="s">
        <v>43</v>
      </c>
      <c r="W147" t="s">
        <v>43</v>
      </c>
      <c r="Y147" t="s">
        <v>574</v>
      </c>
      <c r="Z147" t="s">
        <v>45</v>
      </c>
      <c r="AA147" t="s">
        <v>575</v>
      </c>
      <c r="AB147" t="s">
        <v>95</v>
      </c>
      <c r="AC147" t="s">
        <v>294</v>
      </c>
      <c r="AD147" t="s">
        <v>43</v>
      </c>
      <c r="AE147" t="s">
        <v>43</v>
      </c>
      <c r="AF147" t="str">
        <f>AC147</f>
        <v>Rasenplatz Fichtenberg, Schulstr. 7, 74427 Fichtenberg-Zentrum</v>
      </c>
      <c r="AG147" t="str">
        <f>TRIM(MID(AF147, FIND(", ", AF147)+2, FIND(", ", AF147, FIND(", ", AF147)+1) - FIND(", ", AF147) - 2))</f>
        <v>Schulstr. 7</v>
      </c>
      <c r="AH147" t="str">
        <f>_xlfn.TEXTBEFORE(_xlfn.TEXTAFTER(AF147, ", ", 2), " ")</f>
        <v>74427</v>
      </c>
      <c r="AI147" t="str">
        <f>_xlfn.TEXTAFTER(_xlfn.TEXTAFTER(AF147, ", ", 2), " ")</f>
        <v>Fichtenberg-Zentrum</v>
      </c>
    </row>
    <row r="148" spans="1:35" x14ac:dyDescent="0.2">
      <c r="A148" t="str">
        <f>B148&amp;C148&amp;H148&amp;N148</f>
        <v>35001250SC Steinbach-ComburgB-Junioren1</v>
      </c>
      <c r="B148" t="s">
        <v>165</v>
      </c>
      <c r="C148" t="s">
        <v>166</v>
      </c>
      <c r="D148" t="s">
        <v>58</v>
      </c>
      <c r="E148" t="s">
        <v>35</v>
      </c>
      <c r="F148" t="s">
        <v>50</v>
      </c>
      <c r="G148">
        <v>12</v>
      </c>
      <c r="H148" t="s">
        <v>355</v>
      </c>
      <c r="I148" t="s">
        <v>114</v>
      </c>
      <c r="J148" t="s">
        <v>446</v>
      </c>
      <c r="K148" t="s">
        <v>565</v>
      </c>
      <c r="L148" t="s">
        <v>1350</v>
      </c>
      <c r="M148">
        <v>1</v>
      </c>
      <c r="N148">
        <v>1</v>
      </c>
      <c r="O148" t="s">
        <v>167</v>
      </c>
      <c r="P148" t="s">
        <v>40</v>
      </c>
      <c r="Q148" t="s">
        <v>40</v>
      </c>
      <c r="R148" t="s">
        <v>41</v>
      </c>
      <c r="U148" t="s">
        <v>118</v>
      </c>
      <c r="V148" t="s">
        <v>43</v>
      </c>
      <c r="W148" t="s">
        <v>43</v>
      </c>
      <c r="Y148" t="s">
        <v>43</v>
      </c>
      <c r="Z148" t="s">
        <v>45</v>
      </c>
      <c r="AA148" t="s">
        <v>170</v>
      </c>
      <c r="AB148" t="s">
        <v>43</v>
      </c>
      <c r="AC148" t="s">
        <v>43</v>
      </c>
      <c r="AD148" t="s">
        <v>43</v>
      </c>
      <c r="AE148" t="s">
        <v>43</v>
      </c>
      <c r="AF148" t="str">
        <f>AA148</f>
        <v>Kunstrasenplatz am Hagenbachstadion, Hagenbacher Ring, 74523 Schwäbisch Hall</v>
      </c>
      <c r="AG148" t="str">
        <f>TRIM(MID(AF148, FIND(", ", AF148)+2, FIND(", ", AF148, FIND(", ", AF148)+1) - FIND(", ", AF148) - 2))</f>
        <v>Hagenbacher Ring</v>
      </c>
      <c r="AH148" t="str">
        <f>_xlfn.TEXTBEFORE(_xlfn.TEXTAFTER(AF148, ", ", 2), " ")</f>
        <v>74523</v>
      </c>
      <c r="AI148" t="str">
        <f>_xlfn.TEXTAFTER(_xlfn.TEXTAFTER(AF148, ", ", 2), " ")</f>
        <v>Schwäbisch Hall</v>
      </c>
    </row>
    <row r="149" spans="1:35" x14ac:dyDescent="0.2">
      <c r="A149" t="str">
        <f>B149&amp;C149&amp;H149&amp;N149</f>
        <v>35000555TV Hausen/ZaberB-Junioren2</v>
      </c>
      <c r="B149" t="s">
        <v>376</v>
      </c>
      <c r="C149" t="s">
        <v>377</v>
      </c>
      <c r="D149" t="s">
        <v>34</v>
      </c>
      <c r="E149" t="s">
        <v>35</v>
      </c>
      <c r="F149" t="s">
        <v>36</v>
      </c>
      <c r="G149">
        <v>3</v>
      </c>
      <c r="H149" t="s">
        <v>355</v>
      </c>
      <c r="I149" s="5"/>
      <c r="J149" s="5"/>
      <c r="K149" s="5"/>
      <c r="L149" s="5"/>
      <c r="M149" s="5"/>
      <c r="N149">
        <v>2</v>
      </c>
      <c r="O149" t="s">
        <v>587</v>
      </c>
      <c r="P149" t="s">
        <v>40</v>
      </c>
      <c r="Q149" t="s">
        <v>40</v>
      </c>
      <c r="R149" t="s">
        <v>41</v>
      </c>
      <c r="U149" t="s">
        <v>226</v>
      </c>
      <c r="V149" t="s">
        <v>43</v>
      </c>
      <c r="W149" t="s">
        <v>43</v>
      </c>
      <c r="Y149" t="s">
        <v>588</v>
      </c>
      <c r="Z149" t="s">
        <v>45</v>
      </c>
      <c r="AA149" t="s">
        <v>380</v>
      </c>
      <c r="AB149" t="s">
        <v>43</v>
      </c>
      <c r="AC149" t="s">
        <v>43</v>
      </c>
      <c r="AD149" t="s">
        <v>43</v>
      </c>
      <c r="AE149" t="s">
        <v>43</v>
      </c>
      <c r="AF149" t="str">
        <f>AA149</f>
        <v>Nordhausen Rasen 1, Raiffeisenstr., 74226 Nordheim-Nordhausen</v>
      </c>
      <c r="AG149" t="str">
        <f>TRIM(MID(AF149, FIND(", ", AF149)+2, FIND(", ", AF149, FIND(", ", AF149)+1) - FIND(", ", AF149) - 2))</f>
        <v>Raiffeisenstr.</v>
      </c>
      <c r="AH149" t="str">
        <f>_xlfn.TEXTBEFORE(_xlfn.TEXTAFTER(AF149, ", ", 2), " ")</f>
        <v>74226</v>
      </c>
      <c r="AI149" t="str">
        <f>_xlfn.TEXTAFTER(_xlfn.TEXTAFTER(AF149, ", ", 2), " ")</f>
        <v>Nordheim-Nordhausen</v>
      </c>
    </row>
    <row r="150" spans="1:35" x14ac:dyDescent="0.2">
      <c r="A150" t="str">
        <f>B150&amp;C150&amp;H150&amp;N150</f>
        <v>35002198FC Union HeilbronnB-Junioren2</v>
      </c>
      <c r="B150" t="s">
        <v>85</v>
      </c>
      <c r="C150" t="s">
        <v>86</v>
      </c>
      <c r="D150" t="s">
        <v>34</v>
      </c>
      <c r="E150" t="s">
        <v>35</v>
      </c>
      <c r="F150" t="s">
        <v>36</v>
      </c>
      <c r="G150">
        <v>3</v>
      </c>
      <c r="H150" t="s">
        <v>355</v>
      </c>
      <c r="I150" s="5"/>
      <c r="J150" s="5"/>
      <c r="K150" s="5"/>
      <c r="L150" s="5"/>
      <c r="M150" s="5"/>
      <c r="N150">
        <v>2</v>
      </c>
      <c r="O150" t="s">
        <v>591</v>
      </c>
      <c r="P150" t="s">
        <v>40</v>
      </c>
      <c r="Q150" t="s">
        <v>40</v>
      </c>
      <c r="R150" t="s">
        <v>41</v>
      </c>
      <c r="U150" t="s">
        <v>226</v>
      </c>
      <c r="V150" t="s">
        <v>43</v>
      </c>
      <c r="W150" t="s">
        <v>43</v>
      </c>
      <c r="Y150" t="s">
        <v>592</v>
      </c>
      <c r="Z150" t="s">
        <v>45</v>
      </c>
      <c r="AA150" t="s">
        <v>89</v>
      </c>
      <c r="AB150" t="s">
        <v>43</v>
      </c>
      <c r="AC150" t="s">
        <v>43</v>
      </c>
      <c r="AD150" t="s">
        <v>43</v>
      </c>
      <c r="AE150" t="s">
        <v>43</v>
      </c>
      <c r="AF150" t="str">
        <f>AA150</f>
        <v>Böckingen (SC) Kunstrasen, Viehweide 5, 74080 Heilbronn-Böckingen</v>
      </c>
      <c r="AG150" t="str">
        <f>TRIM(MID(AF150, FIND(", ", AF150)+2, FIND(", ", AF150, FIND(", ", AF150)+1) - FIND(", ", AF150) - 2))</f>
        <v>Viehweide 5</v>
      </c>
      <c r="AH150" t="str">
        <f>_xlfn.TEXTBEFORE(_xlfn.TEXTAFTER(AF150, ", ", 2), " ")</f>
        <v>74080</v>
      </c>
      <c r="AI150" t="str">
        <f>_xlfn.TEXTAFTER(_xlfn.TEXTAFTER(AF150, ", ", 2), " ")</f>
        <v>Heilbronn-Böckingen</v>
      </c>
    </row>
    <row r="151" spans="1:35" x14ac:dyDescent="0.2">
      <c r="A151" t="str">
        <f>B151&amp;C151&amp;H151&amp;N151</f>
        <v>35000904SC Neckarsulm-AmorbachB-Junioren1</v>
      </c>
      <c r="B151" t="s">
        <v>112</v>
      </c>
      <c r="C151" t="s">
        <v>113</v>
      </c>
      <c r="D151" t="s">
        <v>77</v>
      </c>
      <c r="E151" t="s">
        <v>35</v>
      </c>
      <c r="F151" t="s">
        <v>36</v>
      </c>
      <c r="G151">
        <v>3</v>
      </c>
      <c r="H151" t="s">
        <v>355</v>
      </c>
      <c r="I151" s="5"/>
      <c r="J151" s="5"/>
      <c r="K151" s="5"/>
      <c r="L151" s="5"/>
      <c r="M151" s="5"/>
      <c r="N151">
        <v>1</v>
      </c>
      <c r="O151" t="s">
        <v>117</v>
      </c>
      <c r="P151" t="s">
        <v>40</v>
      </c>
      <c r="Q151" t="s">
        <v>40</v>
      </c>
      <c r="R151" t="s">
        <v>41</v>
      </c>
      <c r="U151" t="s">
        <v>118</v>
      </c>
      <c r="V151" t="s">
        <v>43</v>
      </c>
      <c r="W151" t="s">
        <v>43</v>
      </c>
      <c r="Y151" t="s">
        <v>118</v>
      </c>
      <c r="Z151" t="s">
        <v>45</v>
      </c>
      <c r="AA151" t="s">
        <v>586</v>
      </c>
      <c r="AB151" t="s">
        <v>43</v>
      </c>
      <c r="AC151" t="s">
        <v>43</v>
      </c>
      <c r="AD151" t="s">
        <v>43</v>
      </c>
      <c r="AE151" t="s">
        <v>43</v>
      </c>
      <c r="AF151" t="str">
        <f>AA151</f>
        <v>Amorbach Rasen 1, Schwabenweg 25, 74172 Neckarsulm-Amorbach</v>
      </c>
      <c r="AG151" t="str">
        <f>TRIM(MID(AF151, FIND(", ", AF151)+2, FIND(", ", AF151, FIND(", ", AF151)+1) - FIND(", ", AF151) - 2))</f>
        <v>Schwabenweg 25</v>
      </c>
      <c r="AH151" t="str">
        <f>_xlfn.TEXTBEFORE(_xlfn.TEXTAFTER(AF151, ", ", 2), " ")</f>
        <v>74172</v>
      </c>
      <c r="AI151" t="str">
        <f>_xlfn.TEXTAFTER(_xlfn.TEXTAFTER(AF151, ", ", 2), " ")</f>
        <v>Neckarsulm-Amorbach</v>
      </c>
    </row>
    <row r="152" spans="1:35" x14ac:dyDescent="0.2">
      <c r="A152" t="str">
        <f>B152&amp;C152&amp;H152&amp;N152</f>
        <v>35001233TSV SchwabbachB-Junioren1</v>
      </c>
      <c r="B152" t="s">
        <v>295</v>
      </c>
      <c r="C152" t="s">
        <v>296</v>
      </c>
      <c r="D152" t="s">
        <v>66</v>
      </c>
      <c r="E152" t="s">
        <v>35</v>
      </c>
      <c r="F152" t="s">
        <v>50</v>
      </c>
      <c r="G152">
        <v>3</v>
      </c>
      <c r="H152" t="s">
        <v>355</v>
      </c>
      <c r="I152" s="5"/>
      <c r="J152" s="5"/>
      <c r="K152" s="5"/>
      <c r="L152" s="5"/>
      <c r="M152" s="5"/>
      <c r="N152">
        <v>1</v>
      </c>
      <c r="O152" t="s">
        <v>589</v>
      </c>
      <c r="P152" t="s">
        <v>40</v>
      </c>
      <c r="Q152" t="s">
        <v>40</v>
      </c>
      <c r="R152" t="s">
        <v>41</v>
      </c>
      <c r="U152" t="s">
        <v>118</v>
      </c>
      <c r="V152" t="s">
        <v>43</v>
      </c>
      <c r="W152" t="s">
        <v>43</v>
      </c>
      <c r="Y152" t="s">
        <v>590</v>
      </c>
      <c r="Z152" t="s">
        <v>45</v>
      </c>
      <c r="AA152" t="s">
        <v>301</v>
      </c>
      <c r="AB152" t="s">
        <v>43</v>
      </c>
      <c r="AC152" t="s">
        <v>43</v>
      </c>
      <c r="AD152" t="s">
        <v>43</v>
      </c>
      <c r="AE152" t="s">
        <v>43</v>
      </c>
      <c r="AF152" t="str">
        <f>AA152</f>
        <v>Sportplatz 1, TSV Schwabbach, Hammelwiesen 1, 74626 Bretzfeld-Schwabbach</v>
      </c>
      <c r="AG152" t="str">
        <f>_xlfn.TEXTBEFORE(_xlfn.TEXTAFTER(AF152, ", ", 2), ",")</f>
        <v>Hammelwiesen 1</v>
      </c>
      <c r="AH152" t="str">
        <f>_xlfn.TEXTBEFORE(_xlfn.TEXTAFTER(AF152, ", ", 3), " ")</f>
        <v>74626</v>
      </c>
      <c r="AI152" t="str">
        <f>_xlfn.TEXTAFTER(_xlfn.TEXTAFTER(AF152, ", ", 3), " ")</f>
        <v>Bretzfeld-Schwabbach</v>
      </c>
    </row>
    <row r="153" spans="1:35" x14ac:dyDescent="0.2">
      <c r="A153" t="str">
        <f>B153&amp;C153&amp;H153&amp;N153</f>
        <v>35000441TSV GaildorfB-Junioren1</v>
      </c>
      <c r="B153" t="s">
        <v>306</v>
      </c>
      <c r="C153" t="s">
        <v>307</v>
      </c>
      <c r="D153" t="s">
        <v>58</v>
      </c>
      <c r="E153" t="s">
        <v>35</v>
      </c>
      <c r="F153" t="s">
        <v>50</v>
      </c>
      <c r="G153">
        <v>12</v>
      </c>
      <c r="H153" t="s">
        <v>355</v>
      </c>
      <c r="I153" s="5"/>
      <c r="J153" s="5"/>
      <c r="K153" s="5"/>
      <c r="L153" s="5"/>
      <c r="M153" s="5"/>
      <c r="N153">
        <v>1</v>
      </c>
      <c r="O153" t="s">
        <v>308</v>
      </c>
      <c r="P153" t="s">
        <v>40</v>
      </c>
      <c r="Q153" t="s">
        <v>40</v>
      </c>
      <c r="R153" t="s">
        <v>41</v>
      </c>
      <c r="U153" t="s">
        <v>226</v>
      </c>
      <c r="V153" t="s">
        <v>43</v>
      </c>
      <c r="W153" t="s">
        <v>43</v>
      </c>
      <c r="Y153" t="s">
        <v>593</v>
      </c>
      <c r="Z153" t="s">
        <v>45</v>
      </c>
      <c r="AA153" t="s">
        <v>310</v>
      </c>
      <c r="AB153" t="s">
        <v>43</v>
      </c>
      <c r="AC153" t="s">
        <v>43</v>
      </c>
      <c r="AD153" t="s">
        <v>43</v>
      </c>
      <c r="AE153" t="s">
        <v>43</v>
      </c>
      <c r="AF153" t="str">
        <f>AA153</f>
        <v>Kunstrasenplatz Bleichwiese, Schloßstr. 11/1, 74405 Gaildorf</v>
      </c>
      <c r="AG153" t="str">
        <f>TRIM(MID(AF153, FIND(", ", AF153)+2, FIND(", ", AF153, FIND(", ", AF153)+1) - FIND(", ", AF153) - 2))</f>
        <v>Schloßstr. 11/1</v>
      </c>
      <c r="AH153" t="str">
        <f>_xlfn.TEXTBEFORE(_xlfn.TEXTAFTER(AF153, ", ", 2), " ")</f>
        <v>74405</v>
      </c>
      <c r="AI153" t="str">
        <f>_xlfn.TEXTAFTER(_xlfn.TEXTAFTER(AF153, ", ", 2), " ")</f>
        <v>Gaildorf</v>
      </c>
    </row>
    <row r="154" spans="1:35" x14ac:dyDescent="0.2">
      <c r="A154" t="str">
        <f>B154&amp;C154&amp;H154&amp;N154</f>
        <v>35000636FSV HollenbachC-Junioren1</v>
      </c>
      <c r="B154" t="s">
        <v>47</v>
      </c>
      <c r="C154" t="s">
        <v>48</v>
      </c>
      <c r="D154" t="s">
        <v>49</v>
      </c>
      <c r="E154" t="s">
        <v>35</v>
      </c>
      <c r="F154" t="s">
        <v>50</v>
      </c>
      <c r="G154">
        <v>3</v>
      </c>
      <c r="H154" t="s">
        <v>594</v>
      </c>
      <c r="I154" t="s">
        <v>595</v>
      </c>
      <c r="J154" t="s">
        <v>596</v>
      </c>
      <c r="N154">
        <v>1</v>
      </c>
      <c r="O154" t="s">
        <v>597</v>
      </c>
      <c r="P154" t="s">
        <v>40</v>
      </c>
      <c r="Q154" t="s">
        <v>53</v>
      </c>
      <c r="R154" t="s">
        <v>41</v>
      </c>
      <c r="U154" t="s">
        <v>42</v>
      </c>
      <c r="V154" t="s">
        <v>43</v>
      </c>
      <c r="W154" t="s">
        <v>43</v>
      </c>
      <c r="Y154" t="s">
        <v>43</v>
      </c>
      <c r="Z154" t="s">
        <v>45</v>
      </c>
      <c r="AA154" t="s">
        <v>55</v>
      </c>
      <c r="AB154" t="s">
        <v>43</v>
      </c>
      <c r="AC154" t="s">
        <v>43</v>
      </c>
      <c r="AD154" t="s">
        <v>43</v>
      </c>
      <c r="AE154" t="s">
        <v>43</v>
      </c>
      <c r="AF154" t="str">
        <f>AA154</f>
        <v>Jako Arena (Kunstrasenplatz), Am Sportplatz 40, 74673 Mulfingen-Hollenbach</v>
      </c>
      <c r="AG154" t="str">
        <f>TRIM(MID(AF154, FIND(", ", AF154)+2, FIND(", ", AF154, FIND(", ", AF154)+1) - FIND(", ", AF154) - 2))</f>
        <v>Am Sportplatz 40</v>
      </c>
      <c r="AH154" t="str">
        <f>_xlfn.TEXTBEFORE(_xlfn.TEXTAFTER(AF154, ", ", 2), " ")</f>
        <v>74673</v>
      </c>
      <c r="AI154" t="str">
        <f>_xlfn.TEXTAFTER(_xlfn.TEXTAFTER(AF154, ", ", 2), " ")</f>
        <v>Mulfingen-Hollenbach</v>
      </c>
    </row>
    <row r="155" spans="1:35" x14ac:dyDescent="0.2">
      <c r="A155" t="str">
        <f>B155&amp;C155&amp;H155&amp;N155</f>
        <v>35002312VfR Heilbronn 96/18C-Junioren1</v>
      </c>
      <c r="B155" t="s">
        <v>32</v>
      </c>
      <c r="C155" t="s">
        <v>33</v>
      </c>
      <c r="D155" t="s">
        <v>34</v>
      </c>
      <c r="E155" t="s">
        <v>35</v>
      </c>
      <c r="F155" t="s">
        <v>36</v>
      </c>
      <c r="G155">
        <v>3</v>
      </c>
      <c r="H155" t="s">
        <v>594</v>
      </c>
      <c r="I155" t="s">
        <v>38</v>
      </c>
      <c r="J155" t="s">
        <v>598</v>
      </c>
      <c r="N155">
        <v>1</v>
      </c>
      <c r="O155" t="s">
        <v>357</v>
      </c>
      <c r="P155" t="s">
        <v>40</v>
      </c>
      <c r="Q155" t="s">
        <v>40</v>
      </c>
      <c r="R155" t="s">
        <v>41</v>
      </c>
      <c r="U155" t="s">
        <v>42</v>
      </c>
      <c r="V155" t="s">
        <v>43</v>
      </c>
      <c r="W155" t="s">
        <v>43</v>
      </c>
      <c r="Y155" t="s">
        <v>599</v>
      </c>
      <c r="Z155" t="s">
        <v>45</v>
      </c>
      <c r="AA155" t="s">
        <v>46</v>
      </c>
      <c r="AB155" t="s">
        <v>43</v>
      </c>
      <c r="AC155" t="s">
        <v>43</v>
      </c>
      <c r="AD155" t="s">
        <v>43</v>
      </c>
      <c r="AE155" t="s">
        <v>43</v>
      </c>
      <c r="AF155" t="str">
        <f>AA155</f>
        <v>Heilbronn Frankenstadion Kunstrasen, Badstr. 100, 74072 Heilbronn-Zentrum</v>
      </c>
      <c r="AG155" t="str">
        <f>TRIM(MID(AF155, FIND(", ", AF155)+2, FIND(", ", AF155, FIND(", ", AF155)+1) - FIND(", ", AF155) - 2))</f>
        <v>Badstr. 100</v>
      </c>
      <c r="AH155" t="str">
        <f>_xlfn.TEXTBEFORE(_xlfn.TEXTAFTER(AF155, ", ", 2), " ")</f>
        <v>74072</v>
      </c>
      <c r="AI155" t="str">
        <f>_xlfn.TEXTAFTER(_xlfn.TEXTAFTER(AF155, ", ", 2), " ")</f>
        <v>Heilbronn-Zentrum</v>
      </c>
    </row>
    <row r="156" spans="1:35" x14ac:dyDescent="0.2">
      <c r="A156" t="str">
        <f>B156&amp;C156&amp;H156&amp;N156</f>
        <v>35002198FC Union HeilbronnC-Junioren1</v>
      </c>
      <c r="B156" t="s">
        <v>85</v>
      </c>
      <c r="C156" t="s">
        <v>86</v>
      </c>
      <c r="D156" t="s">
        <v>34</v>
      </c>
      <c r="E156" t="s">
        <v>35</v>
      </c>
      <c r="F156" t="s">
        <v>36</v>
      </c>
      <c r="G156">
        <v>3</v>
      </c>
      <c r="H156" t="s">
        <v>594</v>
      </c>
      <c r="I156" t="s">
        <v>51</v>
      </c>
      <c r="J156" t="s">
        <v>602</v>
      </c>
      <c r="N156">
        <v>1</v>
      </c>
      <c r="O156" t="s">
        <v>359</v>
      </c>
      <c r="P156" t="s">
        <v>40</v>
      </c>
      <c r="Q156" t="s">
        <v>40</v>
      </c>
      <c r="R156" t="s">
        <v>41</v>
      </c>
      <c r="U156" t="s">
        <v>42</v>
      </c>
      <c r="V156" t="s">
        <v>43</v>
      </c>
      <c r="W156" t="s">
        <v>43</v>
      </c>
      <c r="Y156" t="s">
        <v>88</v>
      </c>
      <c r="Z156" t="s">
        <v>45</v>
      </c>
      <c r="AA156" t="s">
        <v>89</v>
      </c>
      <c r="AB156" t="s">
        <v>43</v>
      </c>
      <c r="AC156" t="s">
        <v>43</v>
      </c>
      <c r="AD156" t="s">
        <v>43</v>
      </c>
      <c r="AE156" t="s">
        <v>43</v>
      </c>
      <c r="AF156" t="str">
        <f>AA156</f>
        <v>Böckingen (SC) Kunstrasen, Viehweide 5, 74080 Heilbronn-Böckingen</v>
      </c>
      <c r="AG156" t="str">
        <f>TRIM(MID(AF156, FIND(", ", AF156)+2, FIND(", ", AF156, FIND(", ", AF156)+1) - FIND(", ", AF156) - 2))</f>
        <v>Viehweide 5</v>
      </c>
      <c r="AH156" t="str">
        <f>_xlfn.TEXTBEFORE(_xlfn.TEXTAFTER(AF156, ", ", 2), " ")</f>
        <v>74080</v>
      </c>
      <c r="AI156" t="str">
        <f>_xlfn.TEXTAFTER(_xlfn.TEXTAFTER(AF156, ", ", 2), " ")</f>
        <v>Heilbronn-Böckingen</v>
      </c>
    </row>
    <row r="157" spans="1:35" x14ac:dyDescent="0.2">
      <c r="A157" t="str">
        <f>B157&amp;C157&amp;H157&amp;N157</f>
        <v>35002312VfR Heilbronn 96/18C-Junioren2</v>
      </c>
      <c r="B157" t="s">
        <v>32</v>
      </c>
      <c r="C157" t="s">
        <v>33</v>
      </c>
      <c r="D157" t="s">
        <v>34</v>
      </c>
      <c r="E157" t="s">
        <v>35</v>
      </c>
      <c r="F157" t="s">
        <v>36</v>
      </c>
      <c r="G157">
        <v>3</v>
      </c>
      <c r="H157" t="s">
        <v>594</v>
      </c>
      <c r="I157" t="s">
        <v>51</v>
      </c>
      <c r="J157" t="s">
        <v>602</v>
      </c>
      <c r="N157">
        <v>2</v>
      </c>
      <c r="O157" t="s">
        <v>360</v>
      </c>
      <c r="P157" t="s">
        <v>40</v>
      </c>
      <c r="Q157" t="s">
        <v>40</v>
      </c>
      <c r="R157" t="s">
        <v>41</v>
      </c>
      <c r="U157" t="s">
        <v>42</v>
      </c>
      <c r="V157" t="s">
        <v>43</v>
      </c>
      <c r="W157" t="s">
        <v>43</v>
      </c>
      <c r="Y157" t="s">
        <v>43</v>
      </c>
      <c r="Z157" t="s">
        <v>45</v>
      </c>
      <c r="AA157" t="s">
        <v>46</v>
      </c>
      <c r="AB157" t="s">
        <v>43</v>
      </c>
      <c r="AC157" t="s">
        <v>43</v>
      </c>
      <c r="AD157" t="s">
        <v>43</v>
      </c>
      <c r="AE157" t="s">
        <v>43</v>
      </c>
      <c r="AF157" t="str">
        <f>AA157</f>
        <v>Heilbronn Frankenstadion Kunstrasen, Badstr. 100, 74072 Heilbronn-Zentrum</v>
      </c>
      <c r="AG157" t="str">
        <f>TRIM(MID(AF157, FIND(", ", AF157)+2, FIND(", ", AF157, FIND(", ", AF157)+1) - FIND(", ", AF157) - 2))</f>
        <v>Badstr. 100</v>
      </c>
      <c r="AH157" t="str">
        <f>_xlfn.TEXTBEFORE(_xlfn.TEXTAFTER(AF157, ", ", 2), " ")</f>
        <v>74072</v>
      </c>
      <c r="AI157" t="str">
        <f>_xlfn.TEXTAFTER(_xlfn.TEXTAFTER(AF157, ", ", 2), " ")</f>
        <v>Heilbronn-Zentrum</v>
      </c>
    </row>
    <row r="158" spans="1:35" x14ac:dyDescent="0.2">
      <c r="A158" t="str">
        <f>B158&amp;C158&amp;H158&amp;N158</f>
        <v>35000223SC BühlertannC-Junioren1</v>
      </c>
      <c r="B158" t="s">
        <v>600</v>
      </c>
      <c r="C158" t="s">
        <v>601</v>
      </c>
      <c r="D158" t="s">
        <v>58</v>
      </c>
      <c r="E158" t="s">
        <v>35</v>
      </c>
      <c r="F158" t="s">
        <v>50</v>
      </c>
      <c r="G158">
        <v>12</v>
      </c>
      <c r="H158" t="s">
        <v>594</v>
      </c>
      <c r="I158" t="s">
        <v>51</v>
      </c>
      <c r="J158" t="s">
        <v>602</v>
      </c>
      <c r="N158">
        <v>1</v>
      </c>
      <c r="O158" t="s">
        <v>603</v>
      </c>
      <c r="P158" t="s">
        <v>40</v>
      </c>
      <c r="Q158" t="s">
        <v>40</v>
      </c>
      <c r="R158" t="s">
        <v>41</v>
      </c>
      <c r="U158" t="s">
        <v>42</v>
      </c>
      <c r="V158" t="s">
        <v>43</v>
      </c>
      <c r="W158" t="s">
        <v>43</v>
      </c>
      <c r="Y158" t="s">
        <v>604</v>
      </c>
      <c r="Z158" t="s">
        <v>45</v>
      </c>
      <c r="AA158" t="s">
        <v>281</v>
      </c>
      <c r="AB158" t="s">
        <v>95</v>
      </c>
      <c r="AC158" t="s">
        <v>605</v>
      </c>
      <c r="AD158" t="s">
        <v>43</v>
      </c>
      <c r="AE158" t="s">
        <v>43</v>
      </c>
      <c r="AF158" t="str">
        <f>AC158</f>
        <v>Weinbergstadion Bühlertann, Weinbergstr. 10, 74424 Bühlertann</v>
      </c>
      <c r="AG158" t="str">
        <f>TRIM(MID(AF158, FIND(", ", AF158)+2, FIND(", ", AF158, FIND(", ", AF158)+1) - FIND(", ", AF158) - 2))</f>
        <v>Weinbergstr. 10</v>
      </c>
      <c r="AH158" t="str">
        <f>_xlfn.TEXTBEFORE(_xlfn.TEXTAFTER(AF158, ", ", 2), " ")</f>
        <v>74424</v>
      </c>
      <c r="AI158" t="str">
        <f>_xlfn.TEXTAFTER(_xlfn.TEXTAFTER(AF158, ", ", 2), " ")</f>
        <v>Bühlertann</v>
      </c>
    </row>
    <row r="159" spans="1:35" x14ac:dyDescent="0.2">
      <c r="A159" t="str">
        <f>B159&amp;C159&amp;H159&amp;N159</f>
        <v>35000533Spfr Schwäbisch HallC-Junioren1</v>
      </c>
      <c r="B159" t="s">
        <v>56</v>
      </c>
      <c r="C159" t="s">
        <v>57</v>
      </c>
      <c r="D159" t="s">
        <v>58</v>
      </c>
      <c r="E159" t="s">
        <v>35</v>
      </c>
      <c r="F159" t="s">
        <v>50</v>
      </c>
      <c r="G159">
        <v>12</v>
      </c>
      <c r="H159" t="s">
        <v>594</v>
      </c>
      <c r="I159" t="s">
        <v>51</v>
      </c>
      <c r="J159" t="s">
        <v>602</v>
      </c>
      <c r="N159">
        <v>1</v>
      </c>
      <c r="O159" t="s">
        <v>606</v>
      </c>
      <c r="P159" t="s">
        <v>40</v>
      </c>
      <c r="Q159" t="s">
        <v>40</v>
      </c>
      <c r="R159" t="s">
        <v>41</v>
      </c>
      <c r="U159" t="s">
        <v>42</v>
      </c>
      <c r="V159" t="s">
        <v>43</v>
      </c>
      <c r="W159" t="s">
        <v>43</v>
      </c>
      <c r="Y159" t="s">
        <v>607</v>
      </c>
      <c r="Z159" t="s">
        <v>45</v>
      </c>
      <c r="AA159" t="s">
        <v>59</v>
      </c>
      <c r="AB159" t="s">
        <v>43</v>
      </c>
      <c r="AC159" t="s">
        <v>43</v>
      </c>
      <c r="AD159" t="s">
        <v>43</v>
      </c>
      <c r="AE159" t="s">
        <v>43</v>
      </c>
      <c r="AF159" t="str">
        <f>AA159</f>
        <v>Kunstrasenplatz am Schenkenseestadion, Schenkenseestr., 74523 Schwäbisch Hall</v>
      </c>
      <c r="AG159" t="str">
        <f>TRIM(MID(AF159, FIND(", ", AF159)+2, FIND(", ", AF159, FIND(", ", AF159)+1) - FIND(", ", AF159) - 2))</f>
        <v>Schenkenseestr.</v>
      </c>
      <c r="AH159" t="str">
        <f>_xlfn.TEXTBEFORE(_xlfn.TEXTAFTER(AF159, ", ", 2), " ")</f>
        <v>74523</v>
      </c>
      <c r="AI159" t="str">
        <f>_xlfn.TEXTAFTER(_xlfn.TEXTAFTER(AF159, ", ", 2), " ")</f>
        <v>Schwäbisch Hall</v>
      </c>
    </row>
    <row r="160" spans="1:35" x14ac:dyDescent="0.2">
      <c r="A160" t="str">
        <f>B160&amp;C160&amp;H160&amp;N160</f>
        <v>35000204TSV BotenheimC-Junioren1</v>
      </c>
      <c r="B160" t="s">
        <v>608</v>
      </c>
      <c r="C160" t="s">
        <v>609</v>
      </c>
      <c r="D160" t="s">
        <v>34</v>
      </c>
      <c r="E160" t="s">
        <v>35</v>
      </c>
      <c r="F160" t="s">
        <v>36</v>
      </c>
      <c r="G160">
        <v>3</v>
      </c>
      <c r="H160" t="s">
        <v>594</v>
      </c>
      <c r="I160" t="s">
        <v>70</v>
      </c>
      <c r="J160" t="s">
        <v>610</v>
      </c>
      <c r="K160" t="s">
        <v>1418</v>
      </c>
      <c r="L160" t="s">
        <v>1358</v>
      </c>
      <c r="M160">
        <v>8</v>
      </c>
      <c r="N160">
        <v>1</v>
      </c>
      <c r="O160" t="s">
        <v>611</v>
      </c>
      <c r="P160" t="s">
        <v>40</v>
      </c>
      <c r="Q160" t="s">
        <v>40</v>
      </c>
      <c r="R160" t="s">
        <v>41</v>
      </c>
      <c r="U160" t="s">
        <v>42</v>
      </c>
      <c r="V160" t="s">
        <v>43</v>
      </c>
      <c r="W160" t="s">
        <v>43</v>
      </c>
      <c r="Y160" t="s">
        <v>43</v>
      </c>
      <c r="Z160" t="s">
        <v>45</v>
      </c>
      <c r="AA160" t="s">
        <v>126</v>
      </c>
      <c r="AB160" t="s">
        <v>43</v>
      </c>
      <c r="AC160" t="s">
        <v>43</v>
      </c>
      <c r="AD160" t="s">
        <v>43</v>
      </c>
      <c r="AE160" t="s">
        <v>43</v>
      </c>
      <c r="AF160" t="str">
        <f>AA160</f>
        <v>Cleebronn Rasen 1, Schützenstr., 74389 Cleebronn-Zentrum</v>
      </c>
      <c r="AG160" t="str">
        <f>TRIM(MID(AF160, FIND(", ", AF160)+2, FIND(", ", AF160, FIND(", ", AF160)+1) - FIND(", ", AF160) - 2))</f>
        <v>Schützenstr.</v>
      </c>
      <c r="AH160" t="str">
        <f>_xlfn.TEXTBEFORE(_xlfn.TEXTAFTER(AF160, ", ", 2), " ")</f>
        <v>74389</v>
      </c>
      <c r="AI160" t="str">
        <f>_xlfn.TEXTAFTER(_xlfn.TEXTAFTER(AF160, ", ", 2), " ")</f>
        <v>Cleebronn-Zentrum</v>
      </c>
    </row>
    <row r="161" spans="1:35" x14ac:dyDescent="0.2">
      <c r="A161" t="str">
        <f>B161&amp;C161&amp;H161&amp;N161</f>
        <v>35000411Sportverein Heilbronn am Leinbach 1891C-Junioren1</v>
      </c>
      <c r="B161" t="s">
        <v>223</v>
      </c>
      <c r="C161" t="s">
        <v>224</v>
      </c>
      <c r="D161" t="s">
        <v>34</v>
      </c>
      <c r="E161" t="s">
        <v>35</v>
      </c>
      <c r="F161" t="s">
        <v>36</v>
      </c>
      <c r="G161">
        <v>3</v>
      </c>
      <c r="H161" t="s">
        <v>594</v>
      </c>
      <c r="I161" t="s">
        <v>70</v>
      </c>
      <c r="J161" t="s">
        <v>610</v>
      </c>
      <c r="K161" t="s">
        <v>1418</v>
      </c>
      <c r="L161" t="s">
        <v>1358</v>
      </c>
      <c r="M161">
        <v>4</v>
      </c>
      <c r="N161">
        <v>1</v>
      </c>
      <c r="O161" t="s">
        <v>401</v>
      </c>
      <c r="P161" t="s">
        <v>40</v>
      </c>
      <c r="Q161" t="s">
        <v>40</v>
      </c>
      <c r="R161" t="s">
        <v>41</v>
      </c>
      <c r="U161" t="s">
        <v>42</v>
      </c>
      <c r="V161" t="s">
        <v>43</v>
      </c>
      <c r="W161" t="s">
        <v>43</v>
      </c>
      <c r="Y161" t="s">
        <v>43</v>
      </c>
      <c r="Z161" t="s">
        <v>45</v>
      </c>
      <c r="AA161" t="s">
        <v>403</v>
      </c>
      <c r="AB161" t="s">
        <v>43</v>
      </c>
      <c r="AC161" t="s">
        <v>43</v>
      </c>
      <c r="AD161" t="s">
        <v>43</v>
      </c>
      <c r="AE161" t="s">
        <v>43</v>
      </c>
      <c r="AF161" t="str">
        <f>AA161</f>
        <v>Frankenbach Kunstrasen, Riedweg 52, 74078 Heilbronn-Frankenbach</v>
      </c>
      <c r="AG161" t="str">
        <f>TRIM(MID(AF161, FIND(", ", AF161)+2, FIND(", ", AF161, FIND(", ", AF161)+1) - FIND(", ", AF161) - 2))</f>
        <v>Riedweg 52</v>
      </c>
      <c r="AH161" t="str">
        <f>_xlfn.TEXTBEFORE(_xlfn.TEXTAFTER(AF161, ", ", 2), " ")</f>
        <v>74078</v>
      </c>
      <c r="AI161" t="str">
        <f>_xlfn.TEXTAFTER(_xlfn.TEXTAFTER(AF161, ", ", 2), " ")</f>
        <v>Heilbronn-Frankenbach</v>
      </c>
    </row>
    <row r="162" spans="1:35" x14ac:dyDescent="0.2">
      <c r="A162" t="str">
        <f>B162&amp;C162&amp;H162&amp;N162</f>
        <v>35000905Neckarsulmer Sport-UnionC-Junioren1</v>
      </c>
      <c r="B162" t="s">
        <v>97</v>
      </c>
      <c r="C162" t="s">
        <v>98</v>
      </c>
      <c r="D162" t="s">
        <v>34</v>
      </c>
      <c r="E162" t="s">
        <v>35</v>
      </c>
      <c r="F162" t="s">
        <v>36</v>
      </c>
      <c r="G162">
        <v>3</v>
      </c>
      <c r="H162" t="s">
        <v>594</v>
      </c>
      <c r="I162" t="s">
        <v>70</v>
      </c>
      <c r="J162" t="s">
        <v>610</v>
      </c>
      <c r="K162" t="s">
        <v>1418</v>
      </c>
      <c r="L162" t="s">
        <v>1358</v>
      </c>
      <c r="M162">
        <v>7</v>
      </c>
      <c r="N162">
        <v>1</v>
      </c>
      <c r="O162" t="s">
        <v>621</v>
      </c>
      <c r="P162" t="s">
        <v>40</v>
      </c>
      <c r="Q162" t="s">
        <v>40</v>
      </c>
      <c r="R162" t="s">
        <v>41</v>
      </c>
      <c r="U162" t="s">
        <v>42</v>
      </c>
      <c r="V162" t="s">
        <v>43</v>
      </c>
      <c r="W162" t="s">
        <v>43</v>
      </c>
      <c r="Y162" t="s">
        <v>43</v>
      </c>
      <c r="Z162" t="s">
        <v>45</v>
      </c>
      <c r="AA162" t="s">
        <v>100</v>
      </c>
      <c r="AB162" t="s">
        <v>43</v>
      </c>
      <c r="AC162" t="s">
        <v>43</v>
      </c>
      <c r="AD162" t="s">
        <v>43</v>
      </c>
      <c r="AE162" t="s">
        <v>43</v>
      </c>
      <c r="AF162" t="str">
        <f>AA162</f>
        <v>Neckarsulm Pichterich Kunstrasen, Pichterichstr. 71, 74172 Neckarsulm-Zentrum</v>
      </c>
      <c r="AG162" t="str">
        <f>TRIM(MID(AF162, FIND(", ", AF162)+2, FIND(", ", AF162, FIND(", ", AF162)+1) - FIND(", ", AF162) - 2))</f>
        <v>Pichterichstr. 71</v>
      </c>
      <c r="AH162" t="str">
        <f>_xlfn.TEXTBEFORE(_xlfn.TEXTAFTER(AF162, ", ", 2), " ")</f>
        <v>74172</v>
      </c>
      <c r="AI162" t="str">
        <f>_xlfn.TEXTAFTER(_xlfn.TEXTAFTER(AF162, ", ", 2), " ")</f>
        <v>Neckarsulm-Zentrum</v>
      </c>
    </row>
    <row r="163" spans="1:35" x14ac:dyDescent="0.2">
      <c r="A163" t="str">
        <f>B163&amp;C163&amp;H163&amp;N163</f>
        <v>35000910Spfr NeckarwestheimC-Junioren1</v>
      </c>
      <c r="B163" t="s">
        <v>68</v>
      </c>
      <c r="C163" t="s">
        <v>69</v>
      </c>
      <c r="D163" t="s">
        <v>34</v>
      </c>
      <c r="E163" t="s">
        <v>35</v>
      </c>
      <c r="F163" t="s">
        <v>36</v>
      </c>
      <c r="G163">
        <v>3</v>
      </c>
      <c r="H163" t="s">
        <v>594</v>
      </c>
      <c r="I163" t="s">
        <v>70</v>
      </c>
      <c r="J163" t="s">
        <v>610</v>
      </c>
      <c r="K163" t="s">
        <v>1418</v>
      </c>
      <c r="L163" t="s">
        <v>1358</v>
      </c>
      <c r="M163">
        <v>9</v>
      </c>
      <c r="N163">
        <v>1</v>
      </c>
      <c r="O163" t="s">
        <v>69</v>
      </c>
      <c r="P163" t="s">
        <v>40</v>
      </c>
      <c r="Q163" t="s">
        <v>40</v>
      </c>
      <c r="R163" t="s">
        <v>41</v>
      </c>
      <c r="U163" t="s">
        <v>42</v>
      </c>
      <c r="V163" t="s">
        <v>43</v>
      </c>
      <c r="W163" t="s">
        <v>43</v>
      </c>
      <c r="Y163" t="s">
        <v>620</v>
      </c>
      <c r="Z163" t="s">
        <v>45</v>
      </c>
      <c r="AA163" t="s">
        <v>74</v>
      </c>
      <c r="AB163" t="s">
        <v>43</v>
      </c>
      <c r="AC163" t="s">
        <v>43</v>
      </c>
      <c r="AD163" t="s">
        <v>43</v>
      </c>
      <c r="AE163" t="s">
        <v>43</v>
      </c>
      <c r="AF163" t="str">
        <f>AA163</f>
        <v>Neckarwestheim Rasen 1, Reblandstr. 31, 74382 Neckarwestheim-Zentrum</v>
      </c>
      <c r="AG163" t="str">
        <f>TRIM(MID(AF163, FIND(", ", AF163)+2, FIND(", ", AF163, FIND(", ", AF163)+1) - FIND(", ", AF163) - 2))</f>
        <v>Reblandstr. 31</v>
      </c>
      <c r="AH163" t="str">
        <f>_xlfn.TEXTBEFORE(_xlfn.TEXTAFTER(AF163, ", ", 2), " ")</f>
        <v>74382</v>
      </c>
      <c r="AI163" t="str">
        <f>_xlfn.TEXTAFTER(_xlfn.TEXTAFTER(AF163, ", ", 2), " ")</f>
        <v>Neckarwestheim-Zentrum</v>
      </c>
    </row>
    <row r="164" spans="1:35" x14ac:dyDescent="0.2">
      <c r="A164" t="str">
        <f>B164&amp;C164&amp;H164&amp;N164</f>
        <v>35001044TSV PfedelbachC-Junioren1</v>
      </c>
      <c r="B164" t="s">
        <v>425</v>
      </c>
      <c r="C164" t="s">
        <v>426</v>
      </c>
      <c r="D164" t="s">
        <v>66</v>
      </c>
      <c r="E164" t="s">
        <v>35</v>
      </c>
      <c r="F164" t="s">
        <v>50</v>
      </c>
      <c r="G164">
        <v>3</v>
      </c>
      <c r="H164" t="s">
        <v>594</v>
      </c>
      <c r="I164" t="s">
        <v>70</v>
      </c>
      <c r="J164" t="s">
        <v>610</v>
      </c>
      <c r="K164" t="s">
        <v>1418</v>
      </c>
      <c r="L164" t="s">
        <v>1358</v>
      </c>
      <c r="M164">
        <v>1</v>
      </c>
      <c r="N164">
        <v>1</v>
      </c>
      <c r="O164" t="s">
        <v>427</v>
      </c>
      <c r="P164" t="s">
        <v>40</v>
      </c>
      <c r="Q164" t="s">
        <v>40</v>
      </c>
      <c r="R164" t="s">
        <v>41</v>
      </c>
      <c r="U164" t="s">
        <v>42</v>
      </c>
      <c r="V164" t="s">
        <v>43</v>
      </c>
      <c r="W164" t="s">
        <v>43</v>
      </c>
      <c r="Y164" t="s">
        <v>43</v>
      </c>
      <c r="Z164" t="s">
        <v>45</v>
      </c>
      <c r="AA164" t="s">
        <v>431</v>
      </c>
      <c r="AB164" t="s">
        <v>430</v>
      </c>
      <c r="AC164" t="s">
        <v>429</v>
      </c>
      <c r="AD164" t="s">
        <v>43</v>
      </c>
      <c r="AE164" t="s">
        <v>43</v>
      </c>
      <c r="AF164" t="str">
        <f>AC164</f>
        <v>Kunstrasenplatz TSV Pfedelbach, Weststr. 30, 74629 Pfedelbach</v>
      </c>
      <c r="AG164" t="str">
        <f>TRIM(MID(AF164, FIND(", ", AF164)+2, FIND(", ", AF164, FIND(", ", AF164)+1) - FIND(", ", AF164) - 2))</f>
        <v>Weststr. 30</v>
      </c>
      <c r="AH164" t="str">
        <f>_xlfn.TEXTBEFORE(_xlfn.TEXTAFTER(AF164, ", ", 2), " ")</f>
        <v>74629</v>
      </c>
      <c r="AI164" t="str">
        <f>_xlfn.TEXTAFTER(_xlfn.TEXTAFTER(AF164, ", ", 2), " ")</f>
        <v>Pfedelbach</v>
      </c>
    </row>
    <row r="165" spans="1:35" x14ac:dyDescent="0.2">
      <c r="A165" t="str">
        <f>B165&amp;C165&amp;H165&amp;N165</f>
        <v>35000443SSV GaisbachC-Junioren1</v>
      </c>
      <c r="B165" t="s">
        <v>617</v>
      </c>
      <c r="C165" t="s">
        <v>618</v>
      </c>
      <c r="D165" t="s">
        <v>49</v>
      </c>
      <c r="E165" t="s">
        <v>35</v>
      </c>
      <c r="F165" t="s">
        <v>50</v>
      </c>
      <c r="G165">
        <v>3</v>
      </c>
      <c r="H165" t="s">
        <v>594</v>
      </c>
      <c r="I165" t="s">
        <v>70</v>
      </c>
      <c r="J165" t="s">
        <v>610</v>
      </c>
      <c r="K165" t="s">
        <v>1418</v>
      </c>
      <c r="L165" t="s">
        <v>1358</v>
      </c>
      <c r="M165">
        <v>2</v>
      </c>
      <c r="N165">
        <v>1</v>
      </c>
      <c r="O165" t="s">
        <v>619</v>
      </c>
      <c r="P165" t="s">
        <v>40</v>
      </c>
      <c r="Q165" t="s">
        <v>53</v>
      </c>
      <c r="R165" t="s">
        <v>41</v>
      </c>
      <c r="U165" t="s">
        <v>42</v>
      </c>
      <c r="V165" t="s">
        <v>43</v>
      </c>
      <c r="W165" t="s">
        <v>43</v>
      </c>
      <c r="Y165" t="s">
        <v>43</v>
      </c>
      <c r="Z165" t="s">
        <v>45</v>
      </c>
      <c r="AA165" t="s">
        <v>193</v>
      </c>
      <c r="AB165" t="s">
        <v>43</v>
      </c>
      <c r="AC165" t="s">
        <v>43</v>
      </c>
      <c r="AD165" t="s">
        <v>43</v>
      </c>
      <c r="AE165" t="s">
        <v>43</v>
      </c>
      <c r="AF165" t="str">
        <f>AA165</f>
        <v>Kunstrasenplatz SSV Gaisbach, Ballenwasen 4, 74653 Künzelsau-Gaisbach</v>
      </c>
      <c r="AG165" t="str">
        <f>TRIM(MID(AF165, FIND(", ", AF165)+2, FIND(", ", AF165, FIND(", ", AF165)+1) - FIND(", ", AF165) - 2))</f>
        <v>Ballenwasen 4</v>
      </c>
      <c r="AH165" t="str">
        <f>_xlfn.TEXTBEFORE(_xlfn.TEXTAFTER(AF165, ", ", 2), " ")</f>
        <v>74653</v>
      </c>
      <c r="AI165" t="str">
        <f>_xlfn.TEXTAFTER(_xlfn.TEXTAFTER(AF165, ", ", 2), " ")</f>
        <v>Künzelsau-Gaisbach</v>
      </c>
    </row>
    <row r="166" spans="1:35" x14ac:dyDescent="0.2">
      <c r="A166" t="str">
        <f>B166&amp;C166&amp;H166&amp;N166</f>
        <v>35000636FSV HollenbachC-Junioren2</v>
      </c>
      <c r="B166" t="s">
        <v>47</v>
      </c>
      <c r="C166" t="s">
        <v>48</v>
      </c>
      <c r="D166" t="s">
        <v>49</v>
      </c>
      <c r="E166" t="s">
        <v>35</v>
      </c>
      <c r="F166" t="s">
        <v>50</v>
      </c>
      <c r="G166">
        <v>3</v>
      </c>
      <c r="H166" t="s">
        <v>594</v>
      </c>
      <c r="I166" t="s">
        <v>70</v>
      </c>
      <c r="J166" t="s">
        <v>610</v>
      </c>
      <c r="K166" t="s">
        <v>1418</v>
      </c>
      <c r="L166" t="s">
        <v>1358</v>
      </c>
      <c r="M166">
        <v>10</v>
      </c>
      <c r="N166">
        <v>2</v>
      </c>
      <c r="O166" t="s">
        <v>612</v>
      </c>
      <c r="P166" t="s">
        <v>40</v>
      </c>
      <c r="Q166" t="s">
        <v>40</v>
      </c>
      <c r="R166" t="s">
        <v>41</v>
      </c>
      <c r="U166" t="s">
        <v>42</v>
      </c>
      <c r="V166" t="s">
        <v>43</v>
      </c>
      <c r="W166" t="s">
        <v>43</v>
      </c>
      <c r="Y166" t="s">
        <v>43</v>
      </c>
      <c r="Z166" t="s">
        <v>45</v>
      </c>
      <c r="AA166" t="s">
        <v>55</v>
      </c>
      <c r="AB166" t="s">
        <v>43</v>
      </c>
      <c r="AC166" t="s">
        <v>43</v>
      </c>
      <c r="AD166" t="s">
        <v>43</v>
      </c>
      <c r="AE166" t="s">
        <v>43</v>
      </c>
      <c r="AF166" t="str">
        <f>AA166</f>
        <v>Jako Arena (Kunstrasenplatz), Am Sportplatz 40, 74673 Mulfingen-Hollenbach</v>
      </c>
      <c r="AG166" t="str">
        <f>TRIM(MID(AF166, FIND(", ", AF166)+2, FIND(", ", AF166, FIND(", ", AF166)+1) - FIND(", ", AF166) - 2))</f>
        <v>Am Sportplatz 40</v>
      </c>
      <c r="AH166" t="str">
        <f>_xlfn.TEXTBEFORE(_xlfn.TEXTAFTER(AF166, ", ", 2), " ")</f>
        <v>74673</v>
      </c>
      <c r="AI166" t="str">
        <f>_xlfn.TEXTAFTER(_xlfn.TEXTAFTER(AF166, ", ", 2), " ")</f>
        <v>Mulfingen-Hollenbach</v>
      </c>
    </row>
    <row r="167" spans="1:35" x14ac:dyDescent="0.2">
      <c r="A167" t="str">
        <f>B167&amp;C167&amp;H167&amp;N167</f>
        <v>35000238TSV CrailsheimC-Junioren1</v>
      </c>
      <c r="B167" t="s">
        <v>207</v>
      </c>
      <c r="C167" t="s">
        <v>208</v>
      </c>
      <c r="D167" t="s">
        <v>103</v>
      </c>
      <c r="E167" t="s">
        <v>35</v>
      </c>
      <c r="F167" t="s">
        <v>50</v>
      </c>
      <c r="G167">
        <v>12</v>
      </c>
      <c r="H167" t="s">
        <v>594</v>
      </c>
      <c r="I167" t="s">
        <v>70</v>
      </c>
      <c r="J167" t="s">
        <v>610</v>
      </c>
      <c r="K167" t="s">
        <v>1418</v>
      </c>
      <c r="L167" t="s">
        <v>1358</v>
      </c>
      <c r="M167">
        <v>5</v>
      </c>
      <c r="N167">
        <v>1</v>
      </c>
      <c r="O167" t="s">
        <v>208</v>
      </c>
      <c r="P167" t="s">
        <v>40</v>
      </c>
      <c r="Q167" t="s">
        <v>40</v>
      </c>
      <c r="R167" t="s">
        <v>41</v>
      </c>
      <c r="U167" t="s">
        <v>42</v>
      </c>
      <c r="V167" t="s">
        <v>43</v>
      </c>
      <c r="W167" t="s">
        <v>43</v>
      </c>
      <c r="Y167" t="s">
        <v>209</v>
      </c>
      <c r="Z167" t="s">
        <v>45</v>
      </c>
      <c r="AA167" t="s">
        <v>210</v>
      </c>
      <c r="AB167" t="s">
        <v>43</v>
      </c>
      <c r="AC167" t="s">
        <v>43</v>
      </c>
      <c r="AD167" t="s">
        <v>43</v>
      </c>
      <c r="AE167" t="s">
        <v>43</v>
      </c>
      <c r="AF167" t="str">
        <f>AA167</f>
        <v>Kunstrasenplatz am Volksfestplatz, Schönebürgstr., 74564 Crailsheim</v>
      </c>
      <c r="AG167" t="str">
        <f>TRIM(MID(AF167, FIND(", ", AF167)+2, FIND(", ", AF167, FIND(", ", AF167)+1) - FIND(", ", AF167) - 2))</f>
        <v>Schönebürgstr.</v>
      </c>
      <c r="AH167" t="str">
        <f>_xlfn.TEXTBEFORE(_xlfn.TEXTAFTER(AF167, ", ", 2), " ")</f>
        <v>74564</v>
      </c>
      <c r="AI167" t="str">
        <f>_xlfn.TEXTAFTER(_xlfn.TEXTAFTER(AF167, ", ", 2), " ")</f>
        <v>Crailsheim</v>
      </c>
    </row>
    <row r="168" spans="1:35" x14ac:dyDescent="0.2">
      <c r="A168" t="str">
        <f>B168&amp;C168&amp;H168&amp;N168</f>
        <v>35000493SpVgg Gröningen-SatteldorfC-Junioren1</v>
      </c>
      <c r="B168" t="s">
        <v>101</v>
      </c>
      <c r="C168" t="s">
        <v>102</v>
      </c>
      <c r="D168" t="s">
        <v>103</v>
      </c>
      <c r="E168" t="s">
        <v>35</v>
      </c>
      <c r="F168" t="s">
        <v>50</v>
      </c>
      <c r="G168">
        <v>12</v>
      </c>
      <c r="H168" t="s">
        <v>594</v>
      </c>
      <c r="I168" t="s">
        <v>70</v>
      </c>
      <c r="J168" t="s">
        <v>610</v>
      </c>
      <c r="K168" t="s">
        <v>1418</v>
      </c>
      <c r="L168" t="s">
        <v>1358</v>
      </c>
      <c r="M168">
        <v>6</v>
      </c>
      <c r="N168">
        <v>1</v>
      </c>
      <c r="O168" t="s">
        <v>622</v>
      </c>
      <c r="P168" t="s">
        <v>40</v>
      </c>
      <c r="Q168" t="s">
        <v>40</v>
      </c>
      <c r="R168" t="s">
        <v>41</v>
      </c>
      <c r="U168" t="s">
        <v>42</v>
      </c>
      <c r="V168" t="s">
        <v>43</v>
      </c>
      <c r="W168" t="s">
        <v>43</v>
      </c>
      <c r="Y168" t="s">
        <v>43</v>
      </c>
      <c r="Z168" t="s">
        <v>45</v>
      </c>
      <c r="AA168" t="s">
        <v>105</v>
      </c>
      <c r="AB168" t="s">
        <v>43</v>
      </c>
      <c r="AC168" t="s">
        <v>43</v>
      </c>
      <c r="AD168" t="s">
        <v>43</v>
      </c>
      <c r="AE168" t="s">
        <v>43</v>
      </c>
      <c r="AF168" t="str">
        <f>AA168</f>
        <v>Kunstrasenplatz (Platz 3)  SpVgg Satteldorf, Kernmühlenweg, 74589 Satteldorf-Neidenfels</v>
      </c>
      <c r="AG168" t="str">
        <f>TRIM(MID(AF168, FIND(", ", AF168)+2, FIND(", ", AF168, FIND(", ", AF168)+1) - FIND(", ", AF168) - 2))</f>
        <v>Kernmühlenweg</v>
      </c>
      <c r="AH168" t="str">
        <f>_xlfn.TEXTBEFORE(_xlfn.TEXTAFTER(AF168, ", ", 2), " ")</f>
        <v>74589</v>
      </c>
      <c r="AI168" t="str">
        <f>_xlfn.TEXTAFTER(_xlfn.TEXTAFTER(AF168, ", ", 2), " ")</f>
        <v>Satteldorf-Neidenfels</v>
      </c>
    </row>
    <row r="169" spans="1:35" x14ac:dyDescent="0.2">
      <c r="A169" t="str">
        <f>B169&amp;C169&amp;H169&amp;N169</f>
        <v>35000148SC BibersfeldC-Junioren1</v>
      </c>
      <c r="B169" t="s">
        <v>613</v>
      </c>
      <c r="C169" t="s">
        <v>614</v>
      </c>
      <c r="D169" t="s">
        <v>58</v>
      </c>
      <c r="E169" t="s">
        <v>35</v>
      </c>
      <c r="F169" t="s">
        <v>50</v>
      </c>
      <c r="G169">
        <v>12</v>
      </c>
      <c r="H169" t="s">
        <v>594</v>
      </c>
      <c r="I169" t="s">
        <v>70</v>
      </c>
      <c r="J169" t="s">
        <v>610</v>
      </c>
      <c r="K169" t="s">
        <v>1418</v>
      </c>
      <c r="L169" t="s">
        <v>1358</v>
      </c>
      <c r="M169">
        <v>3</v>
      </c>
      <c r="N169">
        <v>1</v>
      </c>
      <c r="O169" t="s">
        <v>615</v>
      </c>
      <c r="P169" t="s">
        <v>40</v>
      </c>
      <c r="Q169" t="s">
        <v>40</v>
      </c>
      <c r="R169" t="s">
        <v>41</v>
      </c>
      <c r="U169" t="s">
        <v>42</v>
      </c>
      <c r="V169" t="s">
        <v>43</v>
      </c>
      <c r="W169" t="s">
        <v>43</v>
      </c>
      <c r="Y169" t="s">
        <v>43</v>
      </c>
      <c r="Z169" t="s">
        <v>45</v>
      </c>
      <c r="AA169" t="s">
        <v>616</v>
      </c>
      <c r="AB169" t="s">
        <v>43</v>
      </c>
      <c r="AC169" t="s">
        <v>43</v>
      </c>
      <c r="AD169" t="s">
        <v>43</v>
      </c>
      <c r="AE169" t="s">
        <v>43</v>
      </c>
      <c r="AF169" t="str">
        <f>AA169</f>
        <v>Sportplatz 1 Bibersfeld, Luckenbacher Str. 42, 74523 Schwäbisch Hall-Bibersfeld</v>
      </c>
      <c r="AG169" t="str">
        <f>TRIM(MID(AF169, FIND(", ", AF169)+2, FIND(", ", AF169, FIND(", ", AF169)+1) - FIND(", ", AF169) - 2))</f>
        <v>Luckenbacher Str. 42</v>
      </c>
      <c r="AH169" t="str">
        <f>_xlfn.TEXTBEFORE(_xlfn.TEXTAFTER(AF169, ", ", 2), " ")</f>
        <v>74523</v>
      </c>
      <c r="AI169" t="str">
        <f>_xlfn.TEXTAFTER(_xlfn.TEXTAFTER(AF169, ", ", 2), " ")</f>
        <v>Schwäbisch Hall-Bibersfeld</v>
      </c>
    </row>
    <row r="170" spans="1:35" x14ac:dyDescent="0.2">
      <c r="A170" t="str">
        <f>B170&amp;C170&amp;H170&amp;N170</f>
        <v>35000667SC IlsfeldC-Junioren1</v>
      </c>
      <c r="B170" t="s">
        <v>634</v>
      </c>
      <c r="C170" t="s">
        <v>635</v>
      </c>
      <c r="D170" t="s">
        <v>34</v>
      </c>
      <c r="E170" t="s">
        <v>35</v>
      </c>
      <c r="F170" t="s">
        <v>36</v>
      </c>
      <c r="G170">
        <v>3</v>
      </c>
      <c r="H170" t="s">
        <v>594</v>
      </c>
      <c r="I170" t="s">
        <v>114</v>
      </c>
      <c r="J170" t="s">
        <v>623</v>
      </c>
      <c r="K170" t="s">
        <v>624</v>
      </c>
      <c r="L170" t="s">
        <v>1359</v>
      </c>
      <c r="M170">
        <v>10</v>
      </c>
      <c r="N170">
        <v>1</v>
      </c>
      <c r="O170" t="s">
        <v>636</v>
      </c>
      <c r="P170" t="s">
        <v>40</v>
      </c>
      <c r="Q170" t="s">
        <v>40</v>
      </c>
      <c r="R170" t="s">
        <v>41</v>
      </c>
      <c r="U170" t="s">
        <v>118</v>
      </c>
      <c r="V170" t="s">
        <v>43</v>
      </c>
      <c r="W170" t="s">
        <v>43</v>
      </c>
      <c r="Y170" t="s">
        <v>637</v>
      </c>
      <c r="Z170" t="s">
        <v>45</v>
      </c>
      <c r="AA170" t="s">
        <v>157</v>
      </c>
      <c r="AB170" t="s">
        <v>638</v>
      </c>
      <c r="AC170" t="s">
        <v>157</v>
      </c>
      <c r="AD170" t="s">
        <v>43</v>
      </c>
      <c r="AE170" t="s">
        <v>43</v>
      </c>
      <c r="AF170" t="str">
        <f>AC170</f>
        <v>Abstatt Kunstrasen, Kirschenwiesen, 74232 Abstatt-Zentrum</v>
      </c>
      <c r="AG170" t="str">
        <f>TRIM(MID(AF170, FIND(", ", AF170)+2, FIND(", ", AF170, FIND(", ", AF170)+1) - FIND(", ", AF170) - 2))</f>
        <v>Kirschenwiesen</v>
      </c>
      <c r="AH170" t="str">
        <f>_xlfn.TEXTBEFORE(_xlfn.TEXTAFTER(AF170, ", ", 2), " ")</f>
        <v>74232</v>
      </c>
      <c r="AI170" t="str">
        <f>_xlfn.TEXTAFTER(_xlfn.TEXTAFTER(AF170, ", ", 2), " ")</f>
        <v>Abstatt-Zentrum</v>
      </c>
    </row>
    <row r="171" spans="1:35" x14ac:dyDescent="0.2">
      <c r="A171" t="str">
        <f>B171&amp;C171&amp;H171&amp;N171</f>
        <v>35000842TSV MeimsheimC-Junioren1</v>
      </c>
      <c r="B171" t="s">
        <v>217</v>
      </c>
      <c r="C171" t="s">
        <v>218</v>
      </c>
      <c r="D171" t="s">
        <v>34</v>
      </c>
      <c r="E171" t="s">
        <v>35</v>
      </c>
      <c r="F171" t="s">
        <v>36</v>
      </c>
      <c r="G171">
        <v>3</v>
      </c>
      <c r="H171" t="s">
        <v>594</v>
      </c>
      <c r="I171" t="s">
        <v>114</v>
      </c>
      <c r="J171" t="s">
        <v>623</v>
      </c>
      <c r="K171" t="s">
        <v>624</v>
      </c>
      <c r="L171" t="s">
        <v>1359</v>
      </c>
      <c r="M171">
        <v>7</v>
      </c>
      <c r="N171">
        <v>1</v>
      </c>
      <c r="O171" t="s">
        <v>648</v>
      </c>
      <c r="P171" t="s">
        <v>40</v>
      </c>
      <c r="Q171" t="s">
        <v>53</v>
      </c>
      <c r="R171" t="s">
        <v>41</v>
      </c>
      <c r="U171" t="s">
        <v>118</v>
      </c>
      <c r="V171" t="s">
        <v>43</v>
      </c>
      <c r="W171" t="s">
        <v>43</v>
      </c>
      <c r="Y171" t="s">
        <v>43</v>
      </c>
      <c r="Z171" t="s">
        <v>45</v>
      </c>
      <c r="AA171" t="s">
        <v>220</v>
      </c>
      <c r="AB171" t="s">
        <v>43</v>
      </c>
      <c r="AC171" t="s">
        <v>43</v>
      </c>
      <c r="AD171" t="s">
        <v>43</v>
      </c>
      <c r="AE171" t="s">
        <v>43</v>
      </c>
      <c r="AF171" t="str">
        <f>AA171</f>
        <v>Meimsheim Rasen 1, Alter Lauffener Weg, 74336 Brackenheim-Meimsheim</v>
      </c>
      <c r="AG171" t="str">
        <f>TRIM(MID(AF171, FIND(", ", AF171)+2, FIND(", ", AF171, FIND(", ", AF171)+1) - FIND(", ", AF171) - 2))</f>
        <v>Alter Lauffener Weg</v>
      </c>
      <c r="AH171" t="str">
        <f>_xlfn.TEXTBEFORE(_xlfn.TEXTAFTER(AF171, ", ", 2), " ")</f>
        <v>74336</v>
      </c>
      <c r="AI171" t="str">
        <f>_xlfn.TEXTAFTER(_xlfn.TEXTAFTER(AF171, ", ", 2), " ")</f>
        <v>Brackenheim-Meimsheim</v>
      </c>
    </row>
    <row r="172" spans="1:35" x14ac:dyDescent="0.2">
      <c r="A172" t="str">
        <f>B172&amp;C172&amp;H172&amp;N172</f>
        <v>35001520TSV WillsbachC-Junioren1</v>
      </c>
      <c r="B172" t="s">
        <v>651</v>
      </c>
      <c r="C172" t="s">
        <v>652</v>
      </c>
      <c r="D172" t="s">
        <v>34</v>
      </c>
      <c r="E172" t="s">
        <v>35</v>
      </c>
      <c r="F172" t="s">
        <v>36</v>
      </c>
      <c r="G172">
        <v>3</v>
      </c>
      <c r="H172" t="s">
        <v>594</v>
      </c>
      <c r="I172" t="s">
        <v>114</v>
      </c>
      <c r="J172" t="s">
        <v>623</v>
      </c>
      <c r="K172" t="s">
        <v>624</v>
      </c>
      <c r="L172" t="s">
        <v>1359</v>
      </c>
      <c r="M172">
        <v>9</v>
      </c>
      <c r="N172">
        <v>1</v>
      </c>
      <c r="O172" t="s">
        <v>653</v>
      </c>
      <c r="P172" t="s">
        <v>40</v>
      </c>
      <c r="Q172" t="s">
        <v>53</v>
      </c>
      <c r="R172" t="s">
        <v>41</v>
      </c>
      <c r="U172" t="s">
        <v>118</v>
      </c>
      <c r="V172" t="s">
        <v>43</v>
      </c>
      <c r="W172" t="s">
        <v>43</v>
      </c>
      <c r="Y172" t="s">
        <v>43</v>
      </c>
      <c r="Z172" t="s">
        <v>45</v>
      </c>
      <c r="AA172" t="s">
        <v>654</v>
      </c>
      <c r="AB172" t="s">
        <v>43</v>
      </c>
      <c r="AC172" t="s">
        <v>43</v>
      </c>
      <c r="AD172" t="s">
        <v>43</v>
      </c>
      <c r="AE172" t="s">
        <v>43</v>
      </c>
      <c r="AF172" t="str">
        <f>AA172</f>
        <v>Willsbach Rasen, Bahnhoffußweg 21, 74182 Obersulm-Willsbach</v>
      </c>
      <c r="AG172" t="str">
        <f>TRIM(MID(AF172, FIND(", ", AF172)+2, FIND(", ", AF172, FIND(", ", AF172)+1) - FIND(", ", AF172) - 2))</f>
        <v>Bahnhoffußweg 21</v>
      </c>
      <c r="AH172" t="str">
        <f>_xlfn.TEXTBEFORE(_xlfn.TEXTAFTER(AF172, ", ", 2), " ")</f>
        <v>74182</v>
      </c>
      <c r="AI172" t="str">
        <f>_xlfn.TEXTAFTER(_xlfn.TEXTAFTER(AF172, ", ", 2), " ")</f>
        <v>Obersulm-Willsbach</v>
      </c>
    </row>
    <row r="173" spans="1:35" x14ac:dyDescent="0.2">
      <c r="A173" t="str">
        <f>B173&amp;C173&amp;H173&amp;N173</f>
        <v>35001763FSV SchwaigernC-Junioren1</v>
      </c>
      <c r="B173" t="s">
        <v>630</v>
      </c>
      <c r="C173" t="s">
        <v>631</v>
      </c>
      <c r="D173" t="s">
        <v>34</v>
      </c>
      <c r="E173" t="s">
        <v>35</v>
      </c>
      <c r="F173" t="s">
        <v>36</v>
      </c>
      <c r="G173">
        <v>3</v>
      </c>
      <c r="H173" t="s">
        <v>594</v>
      </c>
      <c r="I173" t="s">
        <v>114</v>
      </c>
      <c r="J173" t="s">
        <v>623</v>
      </c>
      <c r="K173" t="s">
        <v>624</v>
      </c>
      <c r="L173" t="s">
        <v>1359</v>
      </c>
      <c r="M173">
        <v>3</v>
      </c>
      <c r="N173">
        <v>1</v>
      </c>
      <c r="O173" t="s">
        <v>632</v>
      </c>
      <c r="P173" t="s">
        <v>40</v>
      </c>
      <c r="Q173" t="s">
        <v>53</v>
      </c>
      <c r="R173" t="s">
        <v>41</v>
      </c>
      <c r="U173" t="s">
        <v>118</v>
      </c>
      <c r="V173" t="s">
        <v>43</v>
      </c>
      <c r="W173" t="s">
        <v>43</v>
      </c>
      <c r="Y173" t="s">
        <v>43</v>
      </c>
      <c r="Z173" t="s">
        <v>45</v>
      </c>
      <c r="AA173" t="s">
        <v>633</v>
      </c>
      <c r="AB173" t="s">
        <v>43</v>
      </c>
      <c r="AC173" t="s">
        <v>43</v>
      </c>
      <c r="AD173" t="s">
        <v>43</v>
      </c>
      <c r="AE173" t="s">
        <v>43</v>
      </c>
      <c r="AF173" t="str">
        <f>AA173</f>
        <v>Jay-Cool Stadion, Falltorstr. 10, 74193 Schwaigern</v>
      </c>
      <c r="AG173" t="str">
        <f>TRIM(MID(AF173, FIND(", ", AF173)+2, FIND(", ", AF173, FIND(", ", AF173)+1) - FIND(", ", AF173) - 2))</f>
        <v>Falltorstr. 10</v>
      </c>
      <c r="AH173" t="str">
        <f>_xlfn.TEXTBEFORE(_xlfn.TEXTAFTER(AF173, ", ", 2), " ")</f>
        <v>74193</v>
      </c>
      <c r="AI173" t="str">
        <f>_xlfn.TEXTAFTER(_xlfn.TEXTAFTER(AF173, ", ", 2), " ")</f>
        <v>Schwaigern</v>
      </c>
    </row>
    <row r="174" spans="1:35" x14ac:dyDescent="0.2">
      <c r="A174" t="str">
        <f>B174&amp;C174&amp;H174&amp;N174</f>
        <v>35002198FC Union HeilbronnC-Junioren2</v>
      </c>
      <c r="B174" t="s">
        <v>85</v>
      </c>
      <c r="C174" t="s">
        <v>86</v>
      </c>
      <c r="D174" t="s">
        <v>34</v>
      </c>
      <c r="E174" t="s">
        <v>35</v>
      </c>
      <c r="F174" t="s">
        <v>36</v>
      </c>
      <c r="G174">
        <v>3</v>
      </c>
      <c r="H174" t="s">
        <v>594</v>
      </c>
      <c r="I174" t="s">
        <v>114</v>
      </c>
      <c r="J174" t="s">
        <v>623</v>
      </c>
      <c r="K174" t="s">
        <v>624</v>
      </c>
      <c r="L174" t="s">
        <v>1359</v>
      </c>
      <c r="M174">
        <v>5</v>
      </c>
      <c r="N174">
        <v>2</v>
      </c>
      <c r="O174" t="s">
        <v>591</v>
      </c>
      <c r="P174" t="s">
        <v>40</v>
      </c>
      <c r="Q174" t="s">
        <v>40</v>
      </c>
      <c r="R174" t="s">
        <v>41</v>
      </c>
      <c r="U174" t="s">
        <v>118</v>
      </c>
      <c r="V174" t="s">
        <v>43</v>
      </c>
      <c r="W174" t="s">
        <v>43</v>
      </c>
      <c r="X174" t="s">
        <v>649</v>
      </c>
      <c r="Y174" s="4" t="s">
        <v>650</v>
      </c>
      <c r="Z174" t="s">
        <v>45</v>
      </c>
      <c r="AA174" t="s">
        <v>100</v>
      </c>
      <c r="AB174" t="s">
        <v>95</v>
      </c>
      <c r="AC174" t="s">
        <v>89</v>
      </c>
      <c r="AD174" t="s">
        <v>43</v>
      </c>
      <c r="AE174" t="s">
        <v>43</v>
      </c>
      <c r="AF174" t="str">
        <f>AC174</f>
        <v>Böckingen (SC) Kunstrasen, Viehweide 5, 74080 Heilbronn-Böckingen</v>
      </c>
      <c r="AG174" t="str">
        <f>TRIM(MID(AF174, FIND(", ", AF174)+2, FIND(", ", AF174, FIND(", ", AF174)+1) - FIND(", ", AF174) - 2))</f>
        <v>Viehweide 5</v>
      </c>
      <c r="AH174" t="str">
        <f>_xlfn.TEXTBEFORE(_xlfn.TEXTAFTER(AF174, ", ", 2), " ")</f>
        <v>74080</v>
      </c>
      <c r="AI174" t="str">
        <f>_xlfn.TEXTAFTER(_xlfn.TEXTAFTER(AF174, ", ", 2), " ")</f>
        <v>Heilbronn-Böckingen</v>
      </c>
    </row>
    <row r="175" spans="1:35" x14ac:dyDescent="0.2">
      <c r="A175" t="str">
        <f>B175&amp;C175&amp;H175&amp;N175</f>
        <v>35000243SC DahenfeldC-Junioren1</v>
      </c>
      <c r="B175" t="s">
        <v>626</v>
      </c>
      <c r="C175" t="s">
        <v>627</v>
      </c>
      <c r="D175" t="s">
        <v>77</v>
      </c>
      <c r="E175" t="s">
        <v>35</v>
      </c>
      <c r="F175" t="s">
        <v>36</v>
      </c>
      <c r="G175">
        <v>3</v>
      </c>
      <c r="H175" t="s">
        <v>594</v>
      </c>
      <c r="I175" t="s">
        <v>114</v>
      </c>
      <c r="J175" t="s">
        <v>623</v>
      </c>
      <c r="K175" t="s">
        <v>624</v>
      </c>
      <c r="L175" t="s">
        <v>1359</v>
      </c>
      <c r="M175">
        <v>6</v>
      </c>
      <c r="N175">
        <v>1</v>
      </c>
      <c r="O175" t="s">
        <v>628</v>
      </c>
      <c r="P175" t="s">
        <v>40</v>
      </c>
      <c r="Q175" t="s">
        <v>40</v>
      </c>
      <c r="R175" t="s">
        <v>41</v>
      </c>
      <c r="U175" t="s">
        <v>118</v>
      </c>
      <c r="V175" t="s">
        <v>43</v>
      </c>
      <c r="W175" t="s">
        <v>43</v>
      </c>
      <c r="Y175" t="s">
        <v>43</v>
      </c>
      <c r="Z175" t="s">
        <v>45</v>
      </c>
      <c r="AA175" t="s">
        <v>629</v>
      </c>
      <c r="AB175" t="s">
        <v>95</v>
      </c>
      <c r="AC175" t="s">
        <v>145</v>
      </c>
      <c r="AD175" t="s">
        <v>43</v>
      </c>
      <c r="AE175" t="s">
        <v>43</v>
      </c>
      <c r="AF175" t="str">
        <f>AC175</f>
        <v>Oedheim Rasen, Mörikestr. 37, 74229 Oedheim</v>
      </c>
      <c r="AG175" t="str">
        <f>TRIM(MID(AF175, FIND(", ", AF175)+2, FIND(", ", AF175, FIND(", ", AF175)+1) - FIND(", ", AF175) - 2))</f>
        <v>Mörikestr. 37</v>
      </c>
      <c r="AH175" t="str">
        <f>_xlfn.TEXTBEFORE(_xlfn.TEXTAFTER(AF175, ", ", 2), " ")</f>
        <v>74229</v>
      </c>
      <c r="AI175" t="str">
        <f>_xlfn.TEXTAFTER(_xlfn.TEXTAFTER(AF175, ", ", 2), " ")</f>
        <v>Oedheim</v>
      </c>
    </row>
    <row r="176" spans="1:35" x14ac:dyDescent="0.2">
      <c r="A176" t="str">
        <f>B176&amp;C176&amp;H176&amp;N176</f>
        <v>35000865Spvgg MöckmühlC-Junioren1</v>
      </c>
      <c r="B176" t="s">
        <v>639</v>
      </c>
      <c r="C176" t="s">
        <v>640</v>
      </c>
      <c r="D176" t="s">
        <v>77</v>
      </c>
      <c r="E176" t="s">
        <v>35</v>
      </c>
      <c r="F176" t="s">
        <v>36</v>
      </c>
      <c r="G176">
        <v>3</v>
      </c>
      <c r="H176" t="s">
        <v>594</v>
      </c>
      <c r="I176" t="s">
        <v>114</v>
      </c>
      <c r="J176" t="s">
        <v>623</v>
      </c>
      <c r="K176" t="s">
        <v>624</v>
      </c>
      <c r="L176" t="s">
        <v>1359</v>
      </c>
      <c r="M176">
        <v>4</v>
      </c>
      <c r="N176">
        <v>1</v>
      </c>
      <c r="O176" t="s">
        <v>641</v>
      </c>
      <c r="P176" t="s">
        <v>40</v>
      </c>
      <c r="Q176" t="s">
        <v>53</v>
      </c>
      <c r="R176" t="s">
        <v>41</v>
      </c>
      <c r="U176" t="s">
        <v>118</v>
      </c>
      <c r="V176" t="s">
        <v>43</v>
      </c>
      <c r="W176" t="s">
        <v>43</v>
      </c>
      <c r="Y176" t="s">
        <v>43</v>
      </c>
      <c r="Z176" t="s">
        <v>45</v>
      </c>
      <c r="AA176" t="s">
        <v>642</v>
      </c>
      <c r="AB176" t="s">
        <v>43</v>
      </c>
      <c r="AC176" t="s">
        <v>43</v>
      </c>
      <c r="AD176" t="s">
        <v>43</v>
      </c>
      <c r="AE176" t="s">
        <v>43</v>
      </c>
      <c r="AF176" t="str">
        <f>AA176</f>
        <v>Möckmühl Rasen 1, Züttlinger Str. 1, 74219 Möckmühl</v>
      </c>
      <c r="AG176" t="str">
        <f>TRIM(MID(AF176, FIND(", ", AF176)+2, FIND(", ", AF176, FIND(", ", AF176)+1) - FIND(", ", AF176) - 2))</f>
        <v>Züttlinger Str. 1</v>
      </c>
      <c r="AH176" t="str">
        <f>_xlfn.TEXTBEFORE(_xlfn.TEXTAFTER(AF176, ", ", 2), " ")</f>
        <v>74219</v>
      </c>
      <c r="AI176" t="str">
        <f>_xlfn.TEXTAFTER(_xlfn.TEXTAFTER(AF176, ", ", 2), " ")</f>
        <v>Möckmühl</v>
      </c>
    </row>
    <row r="177" spans="1:35" x14ac:dyDescent="0.2">
      <c r="A177" t="str">
        <f>B177&amp;C177&amp;H177&amp;N177</f>
        <v>35000904SC Neckarsulm-AmorbachC-Junioren1</v>
      </c>
      <c r="B177" t="s">
        <v>112</v>
      </c>
      <c r="C177" t="s">
        <v>113</v>
      </c>
      <c r="D177" t="s">
        <v>77</v>
      </c>
      <c r="E177" t="s">
        <v>35</v>
      </c>
      <c r="F177" t="s">
        <v>36</v>
      </c>
      <c r="G177">
        <v>3</v>
      </c>
      <c r="H177" t="s">
        <v>594</v>
      </c>
      <c r="I177" t="s">
        <v>114</v>
      </c>
      <c r="J177" t="s">
        <v>623</v>
      </c>
      <c r="K177" t="s">
        <v>624</v>
      </c>
      <c r="L177" t="s">
        <v>1359</v>
      </c>
      <c r="M177">
        <v>8</v>
      </c>
      <c r="N177">
        <v>1</v>
      </c>
      <c r="O177" t="s">
        <v>625</v>
      </c>
      <c r="P177" t="s">
        <v>40</v>
      </c>
      <c r="Q177" t="s">
        <v>40</v>
      </c>
      <c r="R177" t="s">
        <v>41</v>
      </c>
      <c r="U177" t="s">
        <v>118</v>
      </c>
      <c r="V177" t="s">
        <v>43</v>
      </c>
      <c r="W177" t="s">
        <v>43</v>
      </c>
      <c r="Y177" t="s">
        <v>118</v>
      </c>
      <c r="Z177" t="s">
        <v>45</v>
      </c>
      <c r="AA177" t="s">
        <v>586</v>
      </c>
      <c r="AB177" t="s">
        <v>43</v>
      </c>
      <c r="AC177" t="s">
        <v>43</v>
      </c>
      <c r="AD177" t="s">
        <v>43</v>
      </c>
      <c r="AE177" t="s">
        <v>43</v>
      </c>
      <c r="AF177" t="str">
        <f>AA177</f>
        <v>Amorbach Rasen 1, Schwabenweg 25, 74172 Neckarsulm-Amorbach</v>
      </c>
      <c r="AG177" t="str">
        <f>TRIM(MID(AF177, FIND(", ", AF177)+2, FIND(", ", AF177, FIND(", ", AF177)+1) - FIND(", ", AF177) - 2))</f>
        <v>Schwabenweg 25</v>
      </c>
      <c r="AH177" t="str">
        <f>_xlfn.TEXTBEFORE(_xlfn.TEXTAFTER(AF177, ", ", 2), " ")</f>
        <v>74172</v>
      </c>
      <c r="AI177" t="str">
        <f>_xlfn.TEXTAFTER(_xlfn.TEXTAFTER(AF177, ", ", 2), " ")</f>
        <v>Neckarsulm-Amorbach</v>
      </c>
    </row>
    <row r="178" spans="1:35" x14ac:dyDescent="0.2">
      <c r="A178" t="str">
        <f>B178&amp;C178&amp;H178&amp;N178</f>
        <v>35001359Spfr TiefenbachC-Junioren1</v>
      </c>
      <c r="B178" t="s">
        <v>643</v>
      </c>
      <c r="C178" t="s">
        <v>644</v>
      </c>
      <c r="D178" t="s">
        <v>77</v>
      </c>
      <c r="E178" t="s">
        <v>35</v>
      </c>
      <c r="F178" t="s">
        <v>36</v>
      </c>
      <c r="G178">
        <v>3</v>
      </c>
      <c r="H178" t="s">
        <v>594</v>
      </c>
      <c r="I178" t="s">
        <v>114</v>
      </c>
      <c r="J178" t="s">
        <v>623</v>
      </c>
      <c r="K178" t="s">
        <v>624</v>
      </c>
      <c r="L178" t="s">
        <v>1359</v>
      </c>
      <c r="M178">
        <v>2</v>
      </c>
      <c r="N178">
        <v>1</v>
      </c>
      <c r="O178" t="s">
        <v>645</v>
      </c>
      <c r="P178" t="s">
        <v>40</v>
      </c>
      <c r="Q178" t="s">
        <v>40</v>
      </c>
      <c r="R178" t="s">
        <v>41</v>
      </c>
      <c r="U178" t="s">
        <v>118</v>
      </c>
      <c r="V178" t="s">
        <v>43</v>
      </c>
      <c r="W178" t="s">
        <v>43</v>
      </c>
      <c r="Y178" t="s">
        <v>43</v>
      </c>
      <c r="Z178" t="s">
        <v>45</v>
      </c>
      <c r="AA178" t="s">
        <v>136</v>
      </c>
      <c r="AB178" t="s">
        <v>646</v>
      </c>
      <c r="AC178" t="s">
        <v>647</v>
      </c>
      <c r="AD178" t="s">
        <v>43</v>
      </c>
      <c r="AE178" t="s">
        <v>43</v>
      </c>
      <c r="AF178" t="str">
        <f>AC178</f>
        <v>Tiefenbach Rasen, Höchstberger Str., 74831 Gundelsheim-Tiefenbach</v>
      </c>
      <c r="AG178" t="str">
        <f>TRIM(MID(AF178, FIND(", ", AF178)+2, FIND(", ", AF178, FIND(", ", AF178)+1) - FIND(", ", AF178) - 2))</f>
        <v>Höchstberger Str.</v>
      </c>
      <c r="AH178" t="str">
        <f>_xlfn.TEXTBEFORE(_xlfn.TEXTAFTER(AF178, ", ", 2), " ")</f>
        <v>74831</v>
      </c>
      <c r="AI178" t="str">
        <f>_xlfn.TEXTAFTER(_xlfn.TEXTAFTER(AF178, ", ", 2), " ")</f>
        <v>Gundelsheim-Tiefenbach</v>
      </c>
    </row>
    <row r="179" spans="1:35" x14ac:dyDescent="0.2">
      <c r="A179" t="str">
        <f>B179&amp;C179&amp;H179&amp;N179</f>
        <v>35001521SG Bad WimpfenC-Junioren1</v>
      </c>
      <c r="B179" t="s">
        <v>120</v>
      </c>
      <c r="C179" t="s">
        <v>121</v>
      </c>
      <c r="D179" t="s">
        <v>77</v>
      </c>
      <c r="E179" t="s">
        <v>35</v>
      </c>
      <c r="F179" t="s">
        <v>36</v>
      </c>
      <c r="G179">
        <v>3</v>
      </c>
      <c r="H179" t="s">
        <v>594</v>
      </c>
      <c r="I179" t="s">
        <v>114</v>
      </c>
      <c r="J179" t="s">
        <v>623</v>
      </c>
      <c r="K179" t="s">
        <v>624</v>
      </c>
      <c r="L179" t="s">
        <v>1359</v>
      </c>
      <c r="M179">
        <v>1</v>
      </c>
      <c r="N179">
        <v>1</v>
      </c>
      <c r="O179" t="s">
        <v>121</v>
      </c>
      <c r="P179" t="s">
        <v>40</v>
      </c>
      <c r="Q179" t="s">
        <v>40</v>
      </c>
      <c r="R179" t="s">
        <v>41</v>
      </c>
      <c r="U179" t="s">
        <v>118</v>
      </c>
      <c r="V179" t="s">
        <v>43</v>
      </c>
      <c r="W179" t="s">
        <v>43</v>
      </c>
      <c r="Y179" t="s">
        <v>43</v>
      </c>
      <c r="Z179" t="s">
        <v>45</v>
      </c>
      <c r="AA179" t="s">
        <v>122</v>
      </c>
      <c r="AB179" t="s">
        <v>43</v>
      </c>
      <c r="AC179" t="s">
        <v>43</v>
      </c>
      <c r="AD179" t="s">
        <v>43</v>
      </c>
      <c r="AE179" t="s">
        <v>43</v>
      </c>
      <c r="AF179" t="str">
        <f>AA179</f>
        <v>Bad Wimpfen Kunstrasen, Erich-Sailer-Str. 59, 74206 Bad Wimpfen-Zentrum</v>
      </c>
      <c r="AG179" t="str">
        <f>TRIM(MID(AF179, FIND(", ", AF179)+2, FIND(", ", AF179, FIND(", ", AF179)+1) - FIND(", ", AF179) - 2))</f>
        <v>Erich-Sailer-Str. 59</v>
      </c>
      <c r="AH179" t="str">
        <f>_xlfn.TEXTBEFORE(_xlfn.TEXTAFTER(AF179, ", ", 2), " ")</f>
        <v>74206</v>
      </c>
      <c r="AI179" t="str">
        <f>_xlfn.TEXTAFTER(_xlfn.TEXTAFTER(AF179, ", ", 2), " ")</f>
        <v>Bad Wimpfen-Zentrum</v>
      </c>
    </row>
    <row r="180" spans="1:35" x14ac:dyDescent="0.2">
      <c r="A180" t="str">
        <f>B180&amp;C180&amp;H180&amp;N180</f>
        <v>35000170TSV BitzfeldC-Junioren1</v>
      </c>
      <c r="B180" t="s">
        <v>667</v>
      </c>
      <c r="C180" t="s">
        <v>668</v>
      </c>
      <c r="D180" t="s">
        <v>66</v>
      </c>
      <c r="E180" t="s">
        <v>35</v>
      </c>
      <c r="F180" t="s">
        <v>50</v>
      </c>
      <c r="G180">
        <v>3</v>
      </c>
      <c r="H180" t="s">
        <v>594</v>
      </c>
      <c r="I180" t="s">
        <v>114</v>
      </c>
      <c r="J180" t="s">
        <v>623</v>
      </c>
      <c r="K180" t="s">
        <v>655</v>
      </c>
      <c r="L180" t="s">
        <v>1360</v>
      </c>
      <c r="M180">
        <v>1</v>
      </c>
      <c r="N180">
        <v>1</v>
      </c>
      <c r="O180" t="s">
        <v>669</v>
      </c>
      <c r="P180" t="s">
        <v>40</v>
      </c>
      <c r="Q180" t="s">
        <v>40</v>
      </c>
      <c r="R180" t="s">
        <v>41</v>
      </c>
      <c r="U180" t="s">
        <v>118</v>
      </c>
      <c r="V180" t="s">
        <v>43</v>
      </c>
      <c r="W180" t="s">
        <v>43</v>
      </c>
      <c r="Y180" t="s">
        <v>43</v>
      </c>
      <c r="Z180" t="s">
        <v>45</v>
      </c>
      <c r="AA180" t="s">
        <v>299</v>
      </c>
      <c r="AB180" t="s">
        <v>43</v>
      </c>
      <c r="AC180" t="s">
        <v>43</v>
      </c>
      <c r="AD180" t="s">
        <v>43</v>
      </c>
      <c r="AE180" t="s">
        <v>43</v>
      </c>
      <c r="AF180" t="str">
        <f>AA180</f>
        <v>Sportplatz 1 Bitzfeld, Hasenweg, 74626 Bretzfeld-Bitzfeld</v>
      </c>
      <c r="AG180" t="str">
        <f>TRIM(MID(AF180, FIND(", ", AF180)+2, FIND(", ", AF180, FIND(", ", AF180)+1) - FIND(", ", AF180) - 2))</f>
        <v>Hasenweg</v>
      </c>
      <c r="AH180" t="str">
        <f>_xlfn.TEXTBEFORE(_xlfn.TEXTAFTER(AF180, ", ", 2), " ")</f>
        <v>74626</v>
      </c>
      <c r="AI180" t="str">
        <f>_xlfn.TEXTAFTER(_xlfn.TEXTAFTER(AF180, ", ", 2), " ")</f>
        <v>Bretzfeld-Bitzfeld</v>
      </c>
    </row>
    <row r="181" spans="1:35" x14ac:dyDescent="0.2">
      <c r="A181" t="str">
        <f>B181&amp;C181&amp;H181&amp;N181</f>
        <v>35001454TSG WaldenburgC-Junioren1</v>
      </c>
      <c r="B181" t="s">
        <v>661</v>
      </c>
      <c r="C181" t="s">
        <v>662</v>
      </c>
      <c r="D181" t="s">
        <v>66</v>
      </c>
      <c r="E181" t="s">
        <v>35</v>
      </c>
      <c r="F181" t="s">
        <v>50</v>
      </c>
      <c r="G181">
        <v>3</v>
      </c>
      <c r="H181" t="s">
        <v>594</v>
      </c>
      <c r="I181" t="s">
        <v>114</v>
      </c>
      <c r="J181" t="s">
        <v>623</v>
      </c>
      <c r="K181" t="s">
        <v>655</v>
      </c>
      <c r="L181" t="s">
        <v>1360</v>
      </c>
      <c r="M181">
        <v>4</v>
      </c>
      <c r="N181">
        <v>1</v>
      </c>
      <c r="O181" t="s">
        <v>663</v>
      </c>
      <c r="P181" t="s">
        <v>40</v>
      </c>
      <c r="Q181" t="s">
        <v>40</v>
      </c>
      <c r="R181" t="s">
        <v>41</v>
      </c>
      <c r="U181" t="s">
        <v>118</v>
      </c>
      <c r="V181" t="s">
        <v>43</v>
      </c>
      <c r="W181" t="s">
        <v>43</v>
      </c>
      <c r="X181" t="s">
        <v>664</v>
      </c>
      <c r="Y181" s="4" t="s">
        <v>665</v>
      </c>
      <c r="Z181" t="s">
        <v>45</v>
      </c>
      <c r="AA181" t="s">
        <v>666</v>
      </c>
      <c r="AB181" t="s">
        <v>43</v>
      </c>
      <c r="AC181" t="s">
        <v>43</v>
      </c>
      <c r="AD181" t="s">
        <v>43</v>
      </c>
      <c r="AE181" t="s">
        <v>43</v>
      </c>
      <c r="AF181" t="str">
        <f>AA181</f>
        <v>Sportplatz 1 TSG Waldenburg, Siercker Str. 9, 74638 Waldenburg</v>
      </c>
      <c r="AG181" t="str">
        <f>TRIM(MID(AF181, FIND(", ", AF181)+2, FIND(", ", AF181, FIND(", ", AF181)+1) - FIND(", ", AF181) - 2))</f>
        <v>Siercker Str. 9</v>
      </c>
      <c r="AH181" t="str">
        <f>_xlfn.TEXTBEFORE(_xlfn.TEXTAFTER(AF181, ", ", 2), " ")</f>
        <v>74638</v>
      </c>
      <c r="AI181" t="str">
        <f>_xlfn.TEXTAFTER(_xlfn.TEXTAFTER(AF181, ", ", 2), " ")</f>
        <v>Waldenburg</v>
      </c>
    </row>
    <row r="182" spans="1:35" x14ac:dyDescent="0.2">
      <c r="A182" t="str">
        <f>B182&amp;C182&amp;H182&amp;N182</f>
        <v>35001492TSV WeißbachC-Junioren1</v>
      </c>
      <c r="B182" t="s">
        <v>676</v>
      </c>
      <c r="C182" t="s">
        <v>677</v>
      </c>
      <c r="D182" t="s">
        <v>49</v>
      </c>
      <c r="E182" t="s">
        <v>35</v>
      </c>
      <c r="F182" t="s">
        <v>50</v>
      </c>
      <c r="G182">
        <v>3</v>
      </c>
      <c r="H182" t="s">
        <v>594</v>
      </c>
      <c r="I182" t="s">
        <v>114</v>
      </c>
      <c r="J182" t="s">
        <v>623</v>
      </c>
      <c r="K182" t="s">
        <v>655</v>
      </c>
      <c r="L182" t="s">
        <v>1360</v>
      </c>
      <c r="M182">
        <v>5</v>
      </c>
      <c r="N182">
        <v>1</v>
      </c>
      <c r="O182" t="s">
        <v>678</v>
      </c>
      <c r="P182" t="s">
        <v>40</v>
      </c>
      <c r="Q182" t="s">
        <v>53</v>
      </c>
      <c r="R182" t="s">
        <v>41</v>
      </c>
      <c r="U182" t="s">
        <v>118</v>
      </c>
      <c r="V182" t="s">
        <v>43</v>
      </c>
      <c r="W182" t="s">
        <v>43</v>
      </c>
      <c r="Y182" t="s">
        <v>43</v>
      </c>
      <c r="Z182" t="s">
        <v>45</v>
      </c>
      <c r="AA182" t="s">
        <v>534</v>
      </c>
      <c r="AB182" t="s">
        <v>43</v>
      </c>
      <c r="AC182" t="s">
        <v>43</v>
      </c>
      <c r="AD182" t="s">
        <v>43</v>
      </c>
      <c r="AE182" t="s">
        <v>43</v>
      </c>
      <c r="AF182" t="str">
        <f>AA182</f>
        <v>Sportplatz Niedernhall, Brückenwiesenweg, 74676 Niedernhall</v>
      </c>
      <c r="AG182" t="str">
        <f>TRIM(MID(AF182, FIND(", ", AF182)+2, FIND(", ", AF182, FIND(", ", AF182)+1) - FIND(", ", AF182) - 2))</f>
        <v>Brückenwiesenweg</v>
      </c>
      <c r="AH182" t="str">
        <f>_xlfn.TEXTBEFORE(_xlfn.TEXTAFTER(AF182, ", ", 2), " ")</f>
        <v>74676</v>
      </c>
      <c r="AI182" t="str">
        <f>_xlfn.TEXTAFTER(_xlfn.TEXTAFTER(AF182, ", ", 2), " ")</f>
        <v>Niedernhall</v>
      </c>
    </row>
    <row r="183" spans="1:35" x14ac:dyDescent="0.2">
      <c r="A183" t="str">
        <f>B183&amp;C183&amp;H183&amp;N183</f>
        <v>35000533Spfr Schwäbisch HallC-Junioren2</v>
      </c>
      <c r="B183" t="s">
        <v>56</v>
      </c>
      <c r="C183" t="s">
        <v>57</v>
      </c>
      <c r="D183" t="s">
        <v>58</v>
      </c>
      <c r="E183" t="s">
        <v>35</v>
      </c>
      <c r="F183" t="s">
        <v>50</v>
      </c>
      <c r="G183">
        <v>12</v>
      </c>
      <c r="H183" t="s">
        <v>594</v>
      </c>
      <c r="I183" t="s">
        <v>114</v>
      </c>
      <c r="J183" t="s">
        <v>623</v>
      </c>
      <c r="K183" t="s">
        <v>655</v>
      </c>
      <c r="L183" t="s">
        <v>1360</v>
      </c>
      <c r="M183">
        <v>8</v>
      </c>
      <c r="N183">
        <v>2</v>
      </c>
      <c r="O183" t="s">
        <v>679</v>
      </c>
      <c r="P183" t="s">
        <v>40</v>
      </c>
      <c r="Q183" t="s">
        <v>40</v>
      </c>
      <c r="R183" t="s">
        <v>41</v>
      </c>
      <c r="U183" t="s">
        <v>118</v>
      </c>
      <c r="V183" t="s">
        <v>43</v>
      </c>
      <c r="W183" t="s">
        <v>43</v>
      </c>
      <c r="X183" t="s">
        <v>680</v>
      </c>
      <c r="Y183" s="4" t="s">
        <v>681</v>
      </c>
      <c r="Z183" t="s">
        <v>45</v>
      </c>
      <c r="AA183" t="s">
        <v>59</v>
      </c>
      <c r="AB183" t="s">
        <v>43</v>
      </c>
      <c r="AC183" t="s">
        <v>43</v>
      </c>
      <c r="AD183" t="s">
        <v>43</v>
      </c>
      <c r="AE183" t="s">
        <v>43</v>
      </c>
      <c r="AF183" t="str">
        <f>AA183</f>
        <v>Kunstrasenplatz am Schenkenseestadion, Schenkenseestr., 74523 Schwäbisch Hall</v>
      </c>
      <c r="AG183" t="str">
        <f>TRIM(MID(AF183, FIND(", ", AF183)+2, FIND(", ", AF183, FIND(", ", AF183)+1) - FIND(", ", AF183) - 2))</f>
        <v>Schenkenseestr.</v>
      </c>
      <c r="AH183" t="str">
        <f>_xlfn.TEXTBEFORE(_xlfn.TEXTAFTER(AF183, ", ", 2), " ")</f>
        <v>74523</v>
      </c>
      <c r="AI183" t="str">
        <f>_xlfn.TEXTAFTER(_xlfn.TEXTAFTER(AF183, ", ", 2), " ")</f>
        <v>Schwäbisch Hall</v>
      </c>
    </row>
    <row r="184" spans="1:35" x14ac:dyDescent="0.2">
      <c r="A184" t="str">
        <f>B184&amp;C184&amp;H184&amp;N184</f>
        <v>35000668TSV IlshofenC-Junioren1</v>
      </c>
      <c r="B184" t="s">
        <v>106</v>
      </c>
      <c r="C184" t="s">
        <v>107</v>
      </c>
      <c r="D184" t="s">
        <v>58</v>
      </c>
      <c r="E184" t="s">
        <v>35</v>
      </c>
      <c r="F184" t="s">
        <v>50</v>
      </c>
      <c r="G184">
        <v>12</v>
      </c>
      <c r="H184" t="s">
        <v>594</v>
      </c>
      <c r="I184" t="s">
        <v>114</v>
      </c>
      <c r="J184" t="s">
        <v>623</v>
      </c>
      <c r="K184" t="s">
        <v>655</v>
      </c>
      <c r="L184" t="s">
        <v>1360</v>
      </c>
      <c r="M184">
        <v>10</v>
      </c>
      <c r="N184">
        <v>1</v>
      </c>
      <c r="O184" t="s">
        <v>107</v>
      </c>
      <c r="P184" t="s">
        <v>40</v>
      </c>
      <c r="Q184" t="s">
        <v>40</v>
      </c>
      <c r="R184" t="s">
        <v>41</v>
      </c>
      <c r="U184" t="s">
        <v>118</v>
      </c>
      <c r="V184" t="s">
        <v>43</v>
      </c>
      <c r="W184" t="s">
        <v>43</v>
      </c>
      <c r="Y184" t="s">
        <v>43</v>
      </c>
      <c r="Z184" t="s">
        <v>45</v>
      </c>
      <c r="AA184" t="s">
        <v>108</v>
      </c>
      <c r="AB184" t="s">
        <v>43</v>
      </c>
      <c r="AC184" t="s">
        <v>43</v>
      </c>
      <c r="AD184" t="s">
        <v>43</v>
      </c>
      <c r="AE184" t="s">
        <v>43</v>
      </c>
      <c r="AF184" t="str">
        <f>AA184</f>
        <v>Kunstrasenplatz TSV Ilshofen, Aspacher Str., 74532 Ilshofen</v>
      </c>
      <c r="AG184" t="str">
        <f>TRIM(MID(AF184, FIND(", ", AF184)+2, FIND(", ", AF184, FIND(", ", AF184)+1) - FIND(", ", AF184) - 2))</f>
        <v>Aspacher Str.</v>
      </c>
      <c r="AH184" t="str">
        <f>_xlfn.TEXTBEFORE(_xlfn.TEXTAFTER(AF184, ", ", 2), " ")</f>
        <v>74532</v>
      </c>
      <c r="AI184" t="str">
        <f>_xlfn.TEXTAFTER(_xlfn.TEXTAFTER(AF184, ", ", 2), " ")</f>
        <v>Ilshofen</v>
      </c>
    </row>
    <row r="185" spans="1:35" x14ac:dyDescent="0.2">
      <c r="A185" t="str">
        <f>B185&amp;C185&amp;H185&amp;N185</f>
        <v>35000854TSV Michelbach/BilzC-Junioren1</v>
      </c>
      <c r="B185" t="s">
        <v>670</v>
      </c>
      <c r="C185" t="s">
        <v>671</v>
      </c>
      <c r="D185" t="s">
        <v>58</v>
      </c>
      <c r="E185" t="s">
        <v>35</v>
      </c>
      <c r="F185" t="s">
        <v>50</v>
      </c>
      <c r="G185">
        <v>12</v>
      </c>
      <c r="H185" t="s">
        <v>594</v>
      </c>
      <c r="I185" t="s">
        <v>114</v>
      </c>
      <c r="J185" t="s">
        <v>623</v>
      </c>
      <c r="K185" t="s">
        <v>655</v>
      </c>
      <c r="L185" t="s">
        <v>1360</v>
      </c>
      <c r="M185">
        <v>9</v>
      </c>
      <c r="N185">
        <v>1</v>
      </c>
      <c r="O185" t="s">
        <v>672</v>
      </c>
      <c r="P185" t="s">
        <v>40</v>
      </c>
      <c r="Q185" t="s">
        <v>40</v>
      </c>
      <c r="R185" t="s">
        <v>41</v>
      </c>
      <c r="U185" t="s">
        <v>118</v>
      </c>
      <c r="V185" t="s">
        <v>43</v>
      </c>
      <c r="W185" t="s">
        <v>43</v>
      </c>
      <c r="X185" t="s">
        <v>673</v>
      </c>
      <c r="Y185" s="4" t="s">
        <v>674</v>
      </c>
      <c r="Z185" t="s">
        <v>45</v>
      </c>
      <c r="AA185" t="s">
        <v>526</v>
      </c>
      <c r="AB185" t="s">
        <v>43</v>
      </c>
      <c r="AC185" t="s">
        <v>43</v>
      </c>
      <c r="AD185" t="s">
        <v>43</v>
      </c>
      <c r="AE185" t="s">
        <v>43</v>
      </c>
      <c r="AF185" t="str">
        <f>AA185</f>
        <v>Sportplatz 1 TSV Michelbach/Bilz, Hagenhofweg, 74544 Michelbach an der Bilz</v>
      </c>
      <c r="AG185" t="str">
        <f>TRIM(MID(AF185, FIND(", ", AF185)+2, FIND(", ", AF185, FIND(", ", AF185)+1) - FIND(", ", AF185) - 2))</f>
        <v>Hagenhofweg</v>
      </c>
      <c r="AH185" t="str">
        <f>_xlfn.TEXTBEFORE(_xlfn.TEXTAFTER(AF185, ", ", 2), " ")</f>
        <v>74544</v>
      </c>
      <c r="AI185" t="str">
        <f>_xlfn.TEXTAFTER(_xlfn.TEXTAFTER(AF185, ", ", 2), " ")</f>
        <v>Michelbach an der Bilz</v>
      </c>
    </row>
    <row r="186" spans="1:35" x14ac:dyDescent="0.2">
      <c r="A186" t="str">
        <f>B186&amp;C186&amp;H186&amp;N186</f>
        <v>35000992TSV ObersontheimC-Junioren1</v>
      </c>
      <c r="B186" t="s">
        <v>656</v>
      </c>
      <c r="C186" t="s">
        <v>657</v>
      </c>
      <c r="D186" t="s">
        <v>58</v>
      </c>
      <c r="E186" t="s">
        <v>35</v>
      </c>
      <c r="F186" t="s">
        <v>50</v>
      </c>
      <c r="G186">
        <v>12</v>
      </c>
      <c r="H186" t="s">
        <v>594</v>
      </c>
      <c r="I186" t="s">
        <v>114</v>
      </c>
      <c r="J186" t="s">
        <v>623</v>
      </c>
      <c r="K186" t="s">
        <v>655</v>
      </c>
      <c r="L186" t="s">
        <v>1360</v>
      </c>
      <c r="M186">
        <v>3</v>
      </c>
      <c r="N186">
        <v>1</v>
      </c>
      <c r="O186" t="s">
        <v>658</v>
      </c>
      <c r="P186" t="s">
        <v>40</v>
      </c>
      <c r="Q186" t="s">
        <v>40</v>
      </c>
      <c r="R186" t="s">
        <v>41</v>
      </c>
      <c r="U186" t="s">
        <v>118</v>
      </c>
      <c r="V186" t="s">
        <v>43</v>
      </c>
      <c r="W186" t="s">
        <v>43</v>
      </c>
      <c r="Y186" t="s">
        <v>659</v>
      </c>
      <c r="Z186" t="s">
        <v>45</v>
      </c>
      <c r="AA186" t="s">
        <v>660</v>
      </c>
      <c r="AB186" t="s">
        <v>43</v>
      </c>
      <c r="AC186" t="s">
        <v>43</v>
      </c>
      <c r="AD186" t="s">
        <v>43</v>
      </c>
      <c r="AE186" t="s">
        <v>43</v>
      </c>
      <c r="AF186" t="str">
        <f>AA186</f>
        <v>Sportplatz 1, FC Honhardt, Ostweg, 74586 Frankenhardt-Honhardt</v>
      </c>
      <c r="AG186" t="str">
        <f>_xlfn.TEXTBEFORE(_xlfn.TEXTAFTER(AF186, ", ", 2), ",")</f>
        <v>Ostweg</v>
      </c>
      <c r="AH186" t="str">
        <f>_xlfn.TEXTBEFORE(_xlfn.TEXTAFTER(AF186, ", ", 3), " ")</f>
        <v>74586</v>
      </c>
      <c r="AI186" t="str">
        <f>_xlfn.TEXTAFTER(_xlfn.TEXTAFTER(AF186, ", ", 3), " ")</f>
        <v>Frankenhardt-Honhardt</v>
      </c>
    </row>
    <row r="187" spans="1:35" x14ac:dyDescent="0.2">
      <c r="A187" t="str">
        <f>B187&amp;C187&amp;H187&amp;N187</f>
        <v>35001186TSV SulzdorfC-Junioren1</v>
      </c>
      <c r="B187" t="s">
        <v>184</v>
      </c>
      <c r="C187" t="s">
        <v>185</v>
      </c>
      <c r="D187" t="s">
        <v>58</v>
      </c>
      <c r="E187" t="s">
        <v>35</v>
      </c>
      <c r="F187" t="s">
        <v>50</v>
      </c>
      <c r="G187">
        <v>12</v>
      </c>
      <c r="H187" t="s">
        <v>594</v>
      </c>
      <c r="I187" t="s">
        <v>114</v>
      </c>
      <c r="J187" t="s">
        <v>623</v>
      </c>
      <c r="K187" t="s">
        <v>655</v>
      </c>
      <c r="L187" t="s">
        <v>1360</v>
      </c>
      <c r="M187">
        <v>6</v>
      </c>
      <c r="N187">
        <v>1</v>
      </c>
      <c r="O187" t="s">
        <v>675</v>
      </c>
      <c r="P187" t="s">
        <v>40</v>
      </c>
      <c r="Q187" t="s">
        <v>40</v>
      </c>
      <c r="R187" t="s">
        <v>41</v>
      </c>
      <c r="U187" t="s">
        <v>118</v>
      </c>
      <c r="V187" t="s">
        <v>43</v>
      </c>
      <c r="W187" t="s">
        <v>43</v>
      </c>
      <c r="Y187" t="s">
        <v>43</v>
      </c>
      <c r="Z187" t="s">
        <v>45</v>
      </c>
      <c r="AA187" t="s">
        <v>187</v>
      </c>
      <c r="AB187" t="s">
        <v>95</v>
      </c>
      <c r="AC187" t="s">
        <v>189</v>
      </c>
      <c r="AD187" t="s">
        <v>43</v>
      </c>
      <c r="AE187" t="s">
        <v>43</v>
      </c>
      <c r="AF187" t="str">
        <f>AC187</f>
        <v>Sportplatz 1 TSV Hessental, Im Wacholder 1, 74523 Schwäbisch Hall-Hessental</v>
      </c>
      <c r="AG187" t="str">
        <f>TRIM(MID(AF187, FIND(", ", AF187)+2, FIND(", ", AF187, FIND(", ", AF187)+1) - FIND(", ", AF187) - 2))</f>
        <v>Im Wacholder 1</v>
      </c>
      <c r="AH187" t="str">
        <f>_xlfn.TEXTBEFORE(_xlfn.TEXTAFTER(AF187, ", ", 2), " ")</f>
        <v>74523</v>
      </c>
      <c r="AI187" t="str">
        <f>_xlfn.TEXTAFTER(_xlfn.TEXTAFTER(AF187, ", ", 2), " ")</f>
        <v>Schwäbisch Hall-Hessental</v>
      </c>
    </row>
    <row r="188" spans="1:35" x14ac:dyDescent="0.2">
      <c r="A188" t="str">
        <f>B188&amp;C188&amp;H188&amp;N188</f>
        <v>35000239FC CreglingenC-Junioren1</v>
      </c>
      <c r="B188" t="s">
        <v>311</v>
      </c>
      <c r="C188" t="s">
        <v>312</v>
      </c>
      <c r="D188" t="s">
        <v>204</v>
      </c>
      <c r="E188" t="s">
        <v>35</v>
      </c>
      <c r="F188" t="s">
        <v>50</v>
      </c>
      <c r="G188">
        <v>3</v>
      </c>
      <c r="H188" t="s">
        <v>594</v>
      </c>
      <c r="I188" t="s">
        <v>114</v>
      </c>
      <c r="J188" t="s">
        <v>623</v>
      </c>
      <c r="K188" t="s">
        <v>655</v>
      </c>
      <c r="L188" t="s">
        <v>1360</v>
      </c>
      <c r="M188">
        <v>2</v>
      </c>
      <c r="N188">
        <v>1</v>
      </c>
      <c r="O188" t="s">
        <v>314</v>
      </c>
      <c r="P188" t="s">
        <v>40</v>
      </c>
      <c r="Q188" t="s">
        <v>40</v>
      </c>
      <c r="R188" t="s">
        <v>41</v>
      </c>
      <c r="U188" t="s">
        <v>118</v>
      </c>
      <c r="V188" t="s">
        <v>43</v>
      </c>
      <c r="W188" t="s">
        <v>43</v>
      </c>
      <c r="Y188" t="s">
        <v>43</v>
      </c>
      <c r="Z188" t="s">
        <v>45</v>
      </c>
      <c r="AA188" t="s">
        <v>315</v>
      </c>
      <c r="AB188" t="s">
        <v>43</v>
      </c>
      <c r="AC188" t="s">
        <v>43</v>
      </c>
      <c r="AD188" t="s">
        <v>43</v>
      </c>
      <c r="AE188" t="s">
        <v>43</v>
      </c>
      <c r="AF188" t="str">
        <f>AA188</f>
        <v>Sportplatz 1 FC Creglingen, Rothenburger Str., 97993 Creglingen-Zentrum</v>
      </c>
      <c r="AG188" t="str">
        <f>TRIM(MID(AF188, FIND(", ", AF188)+2, FIND(", ", AF188, FIND(", ", AF188)+1) - FIND(", ", AF188) - 2))</f>
        <v>Rothenburger Str.</v>
      </c>
      <c r="AH188" t="str">
        <f>_xlfn.TEXTBEFORE(_xlfn.TEXTAFTER(AF188, ", ", 2), " ")</f>
        <v>97993</v>
      </c>
      <c r="AI188" t="str">
        <f>_xlfn.TEXTAFTER(_xlfn.TEXTAFTER(AF188, ", ", 2), " ")</f>
        <v>Creglingen-Zentrum</v>
      </c>
    </row>
    <row r="189" spans="1:35" x14ac:dyDescent="0.2">
      <c r="A189" t="str">
        <f>B189&amp;C189&amp;H189&amp;N189</f>
        <v>35000846VfB Bad MergentheimC-Junioren1</v>
      </c>
      <c r="B189" t="s">
        <v>202</v>
      </c>
      <c r="C189" t="s">
        <v>203</v>
      </c>
      <c r="D189" t="s">
        <v>204</v>
      </c>
      <c r="E189" t="s">
        <v>35</v>
      </c>
      <c r="F189" t="s">
        <v>50</v>
      </c>
      <c r="G189">
        <v>3</v>
      </c>
      <c r="H189" t="s">
        <v>594</v>
      </c>
      <c r="I189" t="s">
        <v>114</v>
      </c>
      <c r="J189" t="s">
        <v>623</v>
      </c>
      <c r="K189" t="s">
        <v>655</v>
      </c>
      <c r="L189" t="s">
        <v>1360</v>
      </c>
      <c r="M189">
        <v>7</v>
      </c>
      <c r="N189">
        <v>1</v>
      </c>
      <c r="O189" t="s">
        <v>203</v>
      </c>
      <c r="P189" t="s">
        <v>40</v>
      </c>
      <c r="Q189" t="s">
        <v>53</v>
      </c>
      <c r="R189" t="s">
        <v>41</v>
      </c>
      <c r="U189" t="s">
        <v>118</v>
      </c>
      <c r="V189" t="s">
        <v>43</v>
      </c>
      <c r="W189" t="s">
        <v>43</v>
      </c>
      <c r="Y189" t="s">
        <v>682</v>
      </c>
      <c r="Z189" t="s">
        <v>45</v>
      </c>
      <c r="AA189" t="s">
        <v>445</v>
      </c>
      <c r="AB189" t="s">
        <v>169</v>
      </c>
      <c r="AC189" t="s">
        <v>443</v>
      </c>
      <c r="AD189" t="s">
        <v>43</v>
      </c>
      <c r="AE189" t="s">
        <v>43</v>
      </c>
      <c r="AF189" t="str">
        <f>AC189</f>
        <v>Deutsch-Orden-Stadion, Arkau 3, 97980 Bad Mergentheim</v>
      </c>
      <c r="AG189" t="str">
        <f>TRIM(MID(AF189, FIND(", ", AF189)+2, FIND(", ", AF189, FIND(", ", AF189)+1) - FIND(", ", AF189) - 2))</f>
        <v>Arkau 3</v>
      </c>
      <c r="AH189" t="str">
        <f>_xlfn.TEXTBEFORE(_xlfn.TEXTAFTER(AF189, ", ", 2), " ")</f>
        <v>97980</v>
      </c>
      <c r="AI189" t="str">
        <f>_xlfn.TEXTAFTER(_xlfn.TEXTAFTER(AF189, ", ", 2), " ")</f>
        <v>Bad Mergentheim</v>
      </c>
    </row>
    <row r="190" spans="1:35" x14ac:dyDescent="0.2">
      <c r="A190" t="str">
        <f>B190&amp;C190&amp;H190&amp;N190</f>
        <v>35000187TG BöckingenC-Junioren1</v>
      </c>
      <c r="B190" t="s">
        <v>229</v>
      </c>
      <c r="C190" t="s">
        <v>230</v>
      </c>
      <c r="D190" t="s">
        <v>34</v>
      </c>
      <c r="E190" t="s">
        <v>35</v>
      </c>
      <c r="F190" t="s">
        <v>36</v>
      </c>
      <c r="G190">
        <v>3</v>
      </c>
      <c r="H190" t="s">
        <v>594</v>
      </c>
      <c r="I190" t="s">
        <v>114</v>
      </c>
      <c r="J190" t="s">
        <v>683</v>
      </c>
      <c r="K190" t="s">
        <v>684</v>
      </c>
      <c r="L190" t="s">
        <v>1362</v>
      </c>
      <c r="M190">
        <v>8</v>
      </c>
      <c r="N190">
        <v>1</v>
      </c>
      <c r="O190" t="s">
        <v>230</v>
      </c>
      <c r="P190" t="s">
        <v>40</v>
      </c>
      <c r="Q190" t="s">
        <v>53</v>
      </c>
      <c r="R190" t="s">
        <v>41</v>
      </c>
      <c r="U190" t="s">
        <v>118</v>
      </c>
      <c r="V190" t="s">
        <v>43</v>
      </c>
      <c r="W190" t="s">
        <v>43</v>
      </c>
      <c r="Y190" t="s">
        <v>43</v>
      </c>
      <c r="Z190" t="s">
        <v>45</v>
      </c>
      <c r="AA190" t="s">
        <v>231</v>
      </c>
      <c r="AB190" t="s">
        <v>43</v>
      </c>
      <c r="AC190" t="s">
        <v>43</v>
      </c>
      <c r="AD190" t="s">
        <v>43</v>
      </c>
      <c r="AE190" t="s">
        <v>43</v>
      </c>
      <c r="AF190" t="str">
        <f>AA190</f>
        <v>Böckingen (TG) Viehweide Kunstrasen, Viehweide 20, 74080 Heilbronn-Böckingen</v>
      </c>
      <c r="AG190" t="str">
        <f>TRIM(MID(AF190, FIND(", ", AF190)+2, FIND(", ", AF190, FIND(", ", AF190)+1) - FIND(", ", AF190) - 2))</f>
        <v>Viehweide 20</v>
      </c>
      <c r="AH190" t="str">
        <f>_xlfn.TEXTBEFORE(_xlfn.TEXTAFTER(AF190, ", ", 2), " ")</f>
        <v>74080</v>
      </c>
      <c r="AI190" t="str">
        <f>_xlfn.TEXTAFTER(_xlfn.TEXTAFTER(AF190, ", ", 2), " ")</f>
        <v>Heilbronn-Böckingen</v>
      </c>
    </row>
    <row r="191" spans="1:35" x14ac:dyDescent="0.2">
      <c r="A191" t="str">
        <f>B191&amp;C191&amp;H191&amp;N191</f>
        <v>35000404TV FleinC-Junioren1</v>
      </c>
      <c r="B191" t="s">
        <v>109</v>
      </c>
      <c r="C191" t="s">
        <v>110</v>
      </c>
      <c r="D191" t="s">
        <v>34</v>
      </c>
      <c r="E191" t="s">
        <v>35</v>
      </c>
      <c r="F191" t="s">
        <v>36</v>
      </c>
      <c r="G191">
        <v>3</v>
      </c>
      <c r="H191" t="s">
        <v>594</v>
      </c>
      <c r="I191" t="s">
        <v>114</v>
      </c>
      <c r="J191" t="s">
        <v>683</v>
      </c>
      <c r="K191" t="s">
        <v>684</v>
      </c>
      <c r="L191" t="s">
        <v>1362</v>
      </c>
      <c r="M191">
        <v>2</v>
      </c>
      <c r="N191">
        <v>1</v>
      </c>
      <c r="O191" t="s">
        <v>110</v>
      </c>
      <c r="P191" t="s">
        <v>40</v>
      </c>
      <c r="Q191" t="s">
        <v>40</v>
      </c>
      <c r="R191" t="s">
        <v>41</v>
      </c>
      <c r="U191" t="s">
        <v>118</v>
      </c>
      <c r="V191" t="s">
        <v>43</v>
      </c>
      <c r="W191" t="s">
        <v>43</v>
      </c>
      <c r="Y191" t="s">
        <v>43</v>
      </c>
      <c r="Z191" t="s">
        <v>45</v>
      </c>
      <c r="AA191" t="s">
        <v>111</v>
      </c>
      <c r="AB191" t="s">
        <v>43</v>
      </c>
      <c r="AC191" t="s">
        <v>43</v>
      </c>
      <c r="AD191" t="s">
        <v>43</v>
      </c>
      <c r="AE191" t="s">
        <v>43</v>
      </c>
      <c r="AF191" t="str">
        <f>AA191</f>
        <v>Flein Rasen (Stadion), Talheimer Str. 1, 74223 Flein-Zentrum</v>
      </c>
      <c r="AG191" t="str">
        <f>TRIM(MID(AF191, FIND(", ", AF191)+2, FIND(", ", AF191, FIND(", ", AF191)+1) - FIND(", ", AF191) - 2))</f>
        <v>Talheimer Str. 1</v>
      </c>
      <c r="AH191" t="str">
        <f>_xlfn.TEXTBEFORE(_xlfn.TEXTAFTER(AF191, ", ", 2), " ")</f>
        <v>74223</v>
      </c>
      <c r="AI191" t="str">
        <f>_xlfn.TEXTAFTER(_xlfn.TEXTAFTER(AF191, ", ", 2), " ")</f>
        <v>Flein-Zentrum</v>
      </c>
    </row>
    <row r="192" spans="1:35" x14ac:dyDescent="0.2">
      <c r="A192" t="str">
        <f>B192&amp;C192&amp;H192&amp;N192</f>
        <v>35000411Sportverein Heilbronn am Leinbach 1891C-Junioren2</v>
      </c>
      <c r="B192" t="s">
        <v>223</v>
      </c>
      <c r="C192" t="s">
        <v>224</v>
      </c>
      <c r="D192" t="s">
        <v>34</v>
      </c>
      <c r="E192" t="s">
        <v>35</v>
      </c>
      <c r="F192" t="s">
        <v>36</v>
      </c>
      <c r="G192">
        <v>3</v>
      </c>
      <c r="H192" t="s">
        <v>594</v>
      </c>
      <c r="I192" t="s">
        <v>114</v>
      </c>
      <c r="J192" t="s">
        <v>683</v>
      </c>
      <c r="K192" t="s">
        <v>684</v>
      </c>
      <c r="L192" t="s">
        <v>1362</v>
      </c>
      <c r="M192">
        <v>9</v>
      </c>
      <c r="N192">
        <v>2</v>
      </c>
      <c r="O192" t="s">
        <v>695</v>
      </c>
      <c r="P192" t="s">
        <v>40</v>
      </c>
      <c r="Q192" t="s">
        <v>40</v>
      </c>
      <c r="R192" t="s">
        <v>41</v>
      </c>
      <c r="U192" t="s">
        <v>226</v>
      </c>
      <c r="V192" t="s">
        <v>43</v>
      </c>
      <c r="W192" t="s">
        <v>43</v>
      </c>
      <c r="Y192" t="s">
        <v>43</v>
      </c>
      <c r="Z192" t="s">
        <v>45</v>
      </c>
      <c r="AA192" t="s">
        <v>403</v>
      </c>
      <c r="AB192" t="s">
        <v>43</v>
      </c>
      <c r="AC192" t="s">
        <v>43</v>
      </c>
      <c r="AD192" t="s">
        <v>43</v>
      </c>
      <c r="AE192" t="s">
        <v>43</v>
      </c>
      <c r="AF192" t="str">
        <f>AA192</f>
        <v>Frankenbach Kunstrasen, Riedweg 52, 74078 Heilbronn-Frankenbach</v>
      </c>
      <c r="AG192" t="str">
        <f>TRIM(MID(AF192, FIND(", ", AF192)+2, FIND(", ", AF192, FIND(", ", AF192)+1) - FIND(", ", AF192) - 2))</f>
        <v>Riedweg 52</v>
      </c>
      <c r="AH192" t="str">
        <f>_xlfn.TEXTBEFORE(_xlfn.TEXTAFTER(AF192, ", ", 2), " ")</f>
        <v>74078</v>
      </c>
      <c r="AI192" t="str">
        <f>_xlfn.TEXTAFTER(_xlfn.TEXTAFTER(AF192, ", ", 2), " ")</f>
        <v>Heilbronn-Frankenbach</v>
      </c>
    </row>
    <row r="193" spans="1:35" x14ac:dyDescent="0.2">
      <c r="A193" t="str">
        <f>B193&amp;C193&amp;H193&amp;N193</f>
        <v>35000765Spfr LauffenC-Junioren1</v>
      </c>
      <c r="B193" t="s">
        <v>390</v>
      </c>
      <c r="C193" t="s">
        <v>391</v>
      </c>
      <c r="D193" t="s">
        <v>34</v>
      </c>
      <c r="E193" t="s">
        <v>35</v>
      </c>
      <c r="F193" t="s">
        <v>36</v>
      </c>
      <c r="G193">
        <v>3</v>
      </c>
      <c r="H193" t="s">
        <v>594</v>
      </c>
      <c r="I193" t="s">
        <v>114</v>
      </c>
      <c r="J193" t="s">
        <v>683</v>
      </c>
      <c r="K193" t="s">
        <v>684</v>
      </c>
      <c r="L193" t="s">
        <v>1362</v>
      </c>
      <c r="M193">
        <v>5</v>
      </c>
      <c r="N193">
        <v>1</v>
      </c>
      <c r="O193" t="s">
        <v>391</v>
      </c>
      <c r="P193" t="s">
        <v>40</v>
      </c>
      <c r="Q193" t="s">
        <v>40</v>
      </c>
      <c r="R193" t="s">
        <v>41</v>
      </c>
      <c r="U193" t="s">
        <v>118</v>
      </c>
      <c r="V193" t="s">
        <v>43</v>
      </c>
      <c r="W193" t="s">
        <v>43</v>
      </c>
      <c r="Y193" t="s">
        <v>43</v>
      </c>
      <c r="Z193" t="s">
        <v>45</v>
      </c>
      <c r="AA193" t="s">
        <v>694</v>
      </c>
      <c r="AB193" t="s">
        <v>43</v>
      </c>
      <c r="AC193" t="s">
        <v>43</v>
      </c>
      <c r="AD193" t="s">
        <v>43</v>
      </c>
      <c r="AE193" t="s">
        <v>43</v>
      </c>
      <c r="AF193" t="str">
        <f>AA193</f>
        <v>Lauffen Rasen 2, Am Forchenwald, 74348 Lauffen am Neckar</v>
      </c>
      <c r="AG193" t="str">
        <f>TRIM(MID(AF193, FIND(", ", AF193)+2, FIND(", ", AF193, FIND(", ", AF193)+1) - FIND(", ", AF193) - 2))</f>
        <v>Am Forchenwald</v>
      </c>
      <c r="AH193" t="str">
        <f>_xlfn.TEXTBEFORE(_xlfn.TEXTAFTER(AF193, ", ", 2), " ")</f>
        <v>74348</v>
      </c>
      <c r="AI193" t="str">
        <f>_xlfn.TEXTAFTER(_xlfn.TEXTAFTER(AF193, ", ", 2), " ")</f>
        <v>Lauffen am Neckar</v>
      </c>
    </row>
    <row r="194" spans="1:35" x14ac:dyDescent="0.2">
      <c r="A194" t="str">
        <f>B194&amp;C194&amp;H194&amp;N194</f>
        <v>35000799TSV LöwensteinC-Junioren1</v>
      </c>
      <c r="B194" t="s">
        <v>689</v>
      </c>
      <c r="C194" t="s">
        <v>690</v>
      </c>
      <c r="D194" t="s">
        <v>34</v>
      </c>
      <c r="E194" t="s">
        <v>35</v>
      </c>
      <c r="F194" t="s">
        <v>36</v>
      </c>
      <c r="G194">
        <v>3</v>
      </c>
      <c r="H194" t="s">
        <v>594</v>
      </c>
      <c r="I194" t="s">
        <v>114</v>
      </c>
      <c r="J194" t="s">
        <v>683</v>
      </c>
      <c r="K194" t="s">
        <v>684</v>
      </c>
      <c r="L194" t="s">
        <v>1362</v>
      </c>
      <c r="M194">
        <v>6</v>
      </c>
      <c r="N194">
        <v>1</v>
      </c>
      <c r="O194" t="s">
        <v>691</v>
      </c>
      <c r="P194" t="s">
        <v>40</v>
      </c>
      <c r="Q194" t="s">
        <v>53</v>
      </c>
      <c r="R194" t="s">
        <v>41</v>
      </c>
      <c r="U194" t="s">
        <v>226</v>
      </c>
      <c r="V194" t="s">
        <v>43</v>
      </c>
      <c r="W194" t="s">
        <v>43</v>
      </c>
      <c r="Y194" t="s">
        <v>692</v>
      </c>
      <c r="Z194" t="s">
        <v>45</v>
      </c>
      <c r="AA194" t="s">
        <v>452</v>
      </c>
      <c r="AB194" t="s">
        <v>43</v>
      </c>
      <c r="AC194" t="s">
        <v>43</v>
      </c>
      <c r="AD194" t="s">
        <v>43</v>
      </c>
      <c r="AE194" t="s">
        <v>43</v>
      </c>
      <c r="AF194" t="str">
        <f>AA194</f>
        <v>Löwenstein Rasen 1, Seemühle, 74245 Löwenstein-Seemühle</v>
      </c>
      <c r="AG194" t="str">
        <f>TRIM(MID(AF194, FIND(", ", AF194)+2, FIND(", ", AF194, FIND(", ", AF194)+1) - FIND(", ", AF194) - 2))</f>
        <v>Seemühle</v>
      </c>
      <c r="AH194" t="str">
        <f>_xlfn.TEXTBEFORE(_xlfn.TEXTAFTER(AF194, ", ", 2), " ")</f>
        <v>74245</v>
      </c>
      <c r="AI194" t="str">
        <f>_xlfn.TEXTAFTER(_xlfn.TEXTAFTER(AF194, ", ", 2), " ")</f>
        <v>Löwenstein-Seemühle</v>
      </c>
    </row>
    <row r="195" spans="1:35" x14ac:dyDescent="0.2">
      <c r="A195" t="str">
        <f>B195&amp;C195&amp;H195&amp;N195</f>
        <v>35002312VfR Heilbronn 96/18C-Junioren3</v>
      </c>
      <c r="B195" t="s">
        <v>32</v>
      </c>
      <c r="C195" t="s">
        <v>33</v>
      </c>
      <c r="D195" t="s">
        <v>34</v>
      </c>
      <c r="E195" t="s">
        <v>35</v>
      </c>
      <c r="F195" t="s">
        <v>36</v>
      </c>
      <c r="G195">
        <v>3</v>
      </c>
      <c r="H195" t="s">
        <v>594</v>
      </c>
      <c r="I195" t="s">
        <v>114</v>
      </c>
      <c r="J195" t="s">
        <v>683</v>
      </c>
      <c r="K195" t="s">
        <v>684</v>
      </c>
      <c r="L195" t="s">
        <v>1362</v>
      </c>
      <c r="M195">
        <v>7</v>
      </c>
      <c r="N195">
        <v>3</v>
      </c>
      <c r="O195" t="s">
        <v>696</v>
      </c>
      <c r="P195" t="s">
        <v>40</v>
      </c>
      <c r="Q195" t="s">
        <v>53</v>
      </c>
      <c r="R195" t="s">
        <v>41</v>
      </c>
      <c r="U195" s="2" t="s">
        <v>118</v>
      </c>
      <c r="V195" t="s">
        <v>43</v>
      </c>
      <c r="W195" t="s">
        <v>43</v>
      </c>
      <c r="Y195" t="s">
        <v>43</v>
      </c>
      <c r="Z195" t="s">
        <v>45</v>
      </c>
      <c r="AA195" t="s">
        <v>46</v>
      </c>
      <c r="AB195" t="s">
        <v>43</v>
      </c>
      <c r="AC195" t="s">
        <v>43</v>
      </c>
      <c r="AD195" t="s">
        <v>43</v>
      </c>
      <c r="AE195" t="s">
        <v>43</v>
      </c>
      <c r="AF195" t="str">
        <f>AA195</f>
        <v>Heilbronn Frankenstadion Kunstrasen, Badstr. 100, 74072 Heilbronn-Zentrum</v>
      </c>
      <c r="AG195" t="str">
        <f>TRIM(MID(AF195, FIND(", ", AF195)+2, FIND(", ", AF195, FIND(", ", AF195)+1) - FIND(", ", AF195) - 2))</f>
        <v>Badstr. 100</v>
      </c>
      <c r="AH195" t="str">
        <f>_xlfn.TEXTBEFORE(_xlfn.TEXTAFTER(AF195, ", ", 2), " ")</f>
        <v>74072</v>
      </c>
      <c r="AI195" t="str">
        <f>_xlfn.TEXTAFTER(_xlfn.TEXTAFTER(AF195, ", ", 2), " ")</f>
        <v>Heilbronn-Zentrum</v>
      </c>
    </row>
    <row r="196" spans="1:35" x14ac:dyDescent="0.2">
      <c r="A196" t="str">
        <f>B196&amp;C196&amp;H196&amp;N196</f>
        <v>35000537TSV HardthausenC-Junioren1</v>
      </c>
      <c r="B196" t="s">
        <v>75</v>
      </c>
      <c r="C196" t="s">
        <v>76</v>
      </c>
      <c r="D196" t="s">
        <v>77</v>
      </c>
      <c r="E196" t="s">
        <v>35</v>
      </c>
      <c r="F196" t="s">
        <v>36</v>
      </c>
      <c r="G196">
        <v>3</v>
      </c>
      <c r="H196" t="s">
        <v>594</v>
      </c>
      <c r="I196" t="s">
        <v>114</v>
      </c>
      <c r="J196" t="s">
        <v>683</v>
      </c>
      <c r="K196" t="s">
        <v>684</v>
      </c>
      <c r="L196" t="s">
        <v>1362</v>
      </c>
      <c r="M196">
        <v>10</v>
      </c>
      <c r="N196">
        <v>1</v>
      </c>
      <c r="O196" t="s">
        <v>78</v>
      </c>
      <c r="P196" t="s">
        <v>40</v>
      </c>
      <c r="Q196" t="s">
        <v>53</v>
      </c>
      <c r="R196" t="s">
        <v>41</v>
      </c>
      <c r="U196" t="s">
        <v>118</v>
      </c>
      <c r="V196" t="s">
        <v>43</v>
      </c>
      <c r="W196" t="s">
        <v>43</v>
      </c>
      <c r="Y196" t="s">
        <v>693</v>
      </c>
      <c r="Z196" t="s">
        <v>45</v>
      </c>
      <c r="AA196" t="s">
        <v>80</v>
      </c>
      <c r="AB196" t="s">
        <v>43</v>
      </c>
      <c r="AC196" t="s">
        <v>43</v>
      </c>
      <c r="AD196" t="s">
        <v>43</v>
      </c>
      <c r="AE196" t="s">
        <v>43</v>
      </c>
      <c r="AF196" t="str">
        <f>AA196</f>
        <v>Hardthausen Rasen, Buchsmühle 1, 74239 Hardthausen</v>
      </c>
      <c r="AG196" t="str">
        <f>TRIM(MID(AF196, FIND(", ", AF196)+2, FIND(", ", AF196, FIND(", ", AF196)+1) - FIND(", ", AF196) - 2))</f>
        <v>Buchsmühle 1</v>
      </c>
      <c r="AH196" t="str">
        <f>_xlfn.TEXTBEFORE(_xlfn.TEXTAFTER(AF196, ", ", 2), " ")</f>
        <v>74239</v>
      </c>
      <c r="AI196" t="str">
        <f>_xlfn.TEXTAFTER(_xlfn.TEXTAFTER(AF196, ", ", 2), " ")</f>
        <v>Hardthausen</v>
      </c>
    </row>
    <row r="197" spans="1:35" x14ac:dyDescent="0.2">
      <c r="A197" t="str">
        <f>B197&amp;C197&amp;H197&amp;N197</f>
        <v>35000578TSV HeinsheimC-Junioren1</v>
      </c>
      <c r="B197" t="s">
        <v>685</v>
      </c>
      <c r="C197" t="s">
        <v>686</v>
      </c>
      <c r="D197" t="s">
        <v>77</v>
      </c>
      <c r="E197" t="s">
        <v>35</v>
      </c>
      <c r="F197" t="s">
        <v>36</v>
      </c>
      <c r="G197">
        <v>3</v>
      </c>
      <c r="H197" t="s">
        <v>594</v>
      </c>
      <c r="I197" t="s">
        <v>114</v>
      </c>
      <c r="J197" t="s">
        <v>683</v>
      </c>
      <c r="K197" t="s">
        <v>684</v>
      </c>
      <c r="L197" t="s">
        <v>1362</v>
      </c>
      <c r="M197">
        <v>4</v>
      </c>
      <c r="N197">
        <v>1</v>
      </c>
      <c r="O197" t="s">
        <v>687</v>
      </c>
      <c r="P197" t="s">
        <v>40</v>
      </c>
      <c r="Q197" t="s">
        <v>40</v>
      </c>
      <c r="R197" t="s">
        <v>41</v>
      </c>
      <c r="U197" t="s">
        <v>118</v>
      </c>
      <c r="V197" t="s">
        <v>43</v>
      </c>
      <c r="W197" t="s">
        <v>43</v>
      </c>
      <c r="Y197" t="s">
        <v>43</v>
      </c>
      <c r="Z197" t="s">
        <v>45</v>
      </c>
      <c r="AA197" t="s">
        <v>688</v>
      </c>
      <c r="AB197" t="s">
        <v>43</v>
      </c>
      <c r="AC197" t="s">
        <v>43</v>
      </c>
      <c r="AD197" t="s">
        <v>43</v>
      </c>
      <c r="AE197" t="s">
        <v>43</v>
      </c>
      <c r="AF197" t="str">
        <f>AA197</f>
        <v>Heinsheim Rasen, Neckarstr. 1, 74906 Bad Rappenau-Heinsheim</v>
      </c>
      <c r="AG197" t="str">
        <f>TRIM(MID(AF197, FIND(", ", AF197)+2, FIND(", ", AF197, FIND(", ", AF197)+1) - FIND(", ", AF197) - 2))</f>
        <v>Neckarstr. 1</v>
      </c>
      <c r="AH197" t="str">
        <f>_xlfn.TEXTBEFORE(_xlfn.TEXTAFTER(AF197, ", ", 2), " ")</f>
        <v>74906</v>
      </c>
      <c r="AI197" t="str">
        <f>_xlfn.TEXTAFTER(_xlfn.TEXTAFTER(AF197, ", ", 2), " ")</f>
        <v>Bad Rappenau-Heinsheim</v>
      </c>
    </row>
    <row r="198" spans="1:35" x14ac:dyDescent="0.2">
      <c r="A198" t="str">
        <f>B198&amp;C198&amp;H198&amp;N198</f>
        <v>35000967VfL ObereisesheimC-Junioren1</v>
      </c>
      <c r="B198" t="s">
        <v>467</v>
      </c>
      <c r="C198" t="s">
        <v>468</v>
      </c>
      <c r="D198" t="s">
        <v>77</v>
      </c>
      <c r="E198" t="s">
        <v>35</v>
      </c>
      <c r="F198" t="s">
        <v>36</v>
      </c>
      <c r="G198">
        <v>3</v>
      </c>
      <c r="H198" t="s">
        <v>594</v>
      </c>
      <c r="I198" t="s">
        <v>114</v>
      </c>
      <c r="J198" t="s">
        <v>683</v>
      </c>
      <c r="K198" t="s">
        <v>684</v>
      </c>
      <c r="L198" t="s">
        <v>1362</v>
      </c>
      <c r="M198">
        <v>1</v>
      </c>
      <c r="N198">
        <v>1</v>
      </c>
      <c r="O198" t="s">
        <v>468</v>
      </c>
      <c r="P198" t="s">
        <v>40</v>
      </c>
      <c r="Q198" t="s">
        <v>40</v>
      </c>
      <c r="R198" t="s">
        <v>41</v>
      </c>
      <c r="U198" t="s">
        <v>118</v>
      </c>
      <c r="V198" t="s">
        <v>43</v>
      </c>
      <c r="W198" t="s">
        <v>43</v>
      </c>
      <c r="Y198" t="s">
        <v>43</v>
      </c>
      <c r="Z198" t="s">
        <v>45</v>
      </c>
      <c r="AA198" t="s">
        <v>469</v>
      </c>
      <c r="AB198" t="s">
        <v>43</v>
      </c>
      <c r="AC198" t="s">
        <v>43</v>
      </c>
      <c r="AD198" t="s">
        <v>43</v>
      </c>
      <c r="AE198" t="s">
        <v>43</v>
      </c>
      <c r="AF198" t="str">
        <f>AA198</f>
        <v>Obereisesheim Rasen 1, Eberwinstr. 26, 74172 Neckarsulm-Obereisesheim</v>
      </c>
      <c r="AG198" t="str">
        <f>TRIM(MID(AF198, FIND(", ", AF198)+2, FIND(", ", AF198, FIND(", ", AF198)+1) - FIND(", ", AF198) - 2))</f>
        <v>Eberwinstr. 26</v>
      </c>
      <c r="AH198" t="str">
        <f>_xlfn.TEXTBEFORE(_xlfn.TEXTAFTER(AF198, ", ", 2), " ")</f>
        <v>74172</v>
      </c>
      <c r="AI198" t="str">
        <f>_xlfn.TEXTAFTER(_xlfn.TEXTAFTER(AF198, ", ", 2), " ")</f>
        <v>Neckarsulm-Obereisesheim</v>
      </c>
    </row>
    <row r="199" spans="1:35" x14ac:dyDescent="0.2">
      <c r="A199" t="str">
        <f>B199&amp;C199&amp;H199&amp;N199</f>
        <v>35002099FSV Friedrichshaller SV 1898C-Junioren1</v>
      </c>
      <c r="B199" t="s">
        <v>338</v>
      </c>
      <c r="C199" t="s">
        <v>339</v>
      </c>
      <c r="D199" t="s">
        <v>77</v>
      </c>
      <c r="E199" t="s">
        <v>35</v>
      </c>
      <c r="F199" t="s">
        <v>36</v>
      </c>
      <c r="G199">
        <v>3</v>
      </c>
      <c r="H199" t="s">
        <v>594</v>
      </c>
      <c r="I199" t="s">
        <v>114</v>
      </c>
      <c r="J199" t="s">
        <v>683</v>
      </c>
      <c r="K199" t="s">
        <v>684</v>
      </c>
      <c r="L199" t="s">
        <v>1362</v>
      </c>
      <c r="M199">
        <v>3</v>
      </c>
      <c r="N199">
        <v>1</v>
      </c>
      <c r="O199" t="s">
        <v>340</v>
      </c>
      <c r="P199" t="s">
        <v>40</v>
      </c>
      <c r="Q199" t="s">
        <v>40</v>
      </c>
      <c r="R199" t="s">
        <v>41</v>
      </c>
      <c r="U199" t="s">
        <v>118</v>
      </c>
      <c r="V199" t="s">
        <v>43</v>
      </c>
      <c r="W199" t="s">
        <v>43</v>
      </c>
      <c r="Y199" t="s">
        <v>43</v>
      </c>
      <c r="Z199" t="s">
        <v>45</v>
      </c>
      <c r="AA199" t="s">
        <v>341</v>
      </c>
      <c r="AB199" t="s">
        <v>43</v>
      </c>
      <c r="AC199" t="s">
        <v>43</v>
      </c>
      <c r="AD199" t="s">
        <v>43</v>
      </c>
      <c r="AE199" t="s">
        <v>43</v>
      </c>
      <c r="AF199" t="str">
        <f>AA199</f>
        <v>Jagstfeld Kunstrasen, Hohe Straße , 74177 Bad Friedrichshall-Jagstfeld</v>
      </c>
      <c r="AG199" t="str">
        <f>TRIM(MID(AF199, FIND(", ", AF199)+2, FIND(", ", AF199, FIND(", ", AF199)+1) - FIND(", ", AF199) - 2))</f>
        <v>Hohe Straße</v>
      </c>
      <c r="AH199" t="str">
        <f>_xlfn.TEXTBEFORE(_xlfn.TEXTAFTER(AF199, ", ", 2), " ")</f>
        <v>74177</v>
      </c>
      <c r="AI199" t="str">
        <f>_xlfn.TEXTAFTER(_xlfn.TEXTAFTER(AF199, ", ", 2), " ")</f>
        <v>Bad Friedrichshall-Jagstfeld</v>
      </c>
    </row>
    <row r="200" spans="1:35" x14ac:dyDescent="0.2">
      <c r="A200" t="str">
        <f>B200&amp;C200&amp;H200&amp;N200</f>
        <v>35000079SSV AuensteinC-Junioren1</v>
      </c>
      <c r="B200" t="s">
        <v>271</v>
      </c>
      <c r="C200" t="s">
        <v>272</v>
      </c>
      <c r="D200" t="s">
        <v>34</v>
      </c>
      <c r="E200" t="s">
        <v>35</v>
      </c>
      <c r="F200" t="s">
        <v>36</v>
      </c>
      <c r="G200">
        <v>3</v>
      </c>
      <c r="H200" t="s">
        <v>594</v>
      </c>
      <c r="I200" t="s">
        <v>114</v>
      </c>
      <c r="J200" t="s">
        <v>683</v>
      </c>
      <c r="K200" t="s">
        <v>697</v>
      </c>
      <c r="L200" t="s">
        <v>1361</v>
      </c>
      <c r="M200">
        <v>4</v>
      </c>
      <c r="N200">
        <v>1</v>
      </c>
      <c r="O200" t="s">
        <v>698</v>
      </c>
      <c r="P200" t="s">
        <v>40</v>
      </c>
      <c r="Q200" t="s">
        <v>40</v>
      </c>
      <c r="R200" t="s">
        <v>41</v>
      </c>
      <c r="U200" t="s">
        <v>226</v>
      </c>
      <c r="V200" t="s">
        <v>43</v>
      </c>
      <c r="W200" t="s">
        <v>43</v>
      </c>
      <c r="Y200" t="s">
        <v>699</v>
      </c>
      <c r="Z200" t="s">
        <v>45</v>
      </c>
      <c r="AA200" t="s">
        <v>234</v>
      </c>
      <c r="AB200" t="s">
        <v>700</v>
      </c>
      <c r="AC200" t="s">
        <v>275</v>
      </c>
      <c r="AD200" t="s">
        <v>43</v>
      </c>
      <c r="AE200" t="s">
        <v>43</v>
      </c>
      <c r="AF200" t="str">
        <f>AC200</f>
        <v>Auenstein Rasen 1 (Sportpark am Tiefenbach), Ochsenweg 1, 74360 Ilsfeld-Auenstein</v>
      </c>
      <c r="AG200" t="str">
        <f>TRIM(MID(AF200, FIND(", ", AF200)+2, FIND(", ", AF200, FIND(", ", AF200)+1) - FIND(", ", AF200) - 2))</f>
        <v>Ochsenweg 1</v>
      </c>
      <c r="AH200" t="str">
        <f>_xlfn.TEXTBEFORE(_xlfn.TEXTAFTER(AF200, ", ", 2), " ")</f>
        <v>74360</v>
      </c>
      <c r="AI200" t="str">
        <f>_xlfn.TEXTAFTER(_xlfn.TEXTAFTER(AF200, ", ", 2), " ")</f>
        <v>Ilsfeld-Auenstein</v>
      </c>
    </row>
    <row r="201" spans="1:35" x14ac:dyDescent="0.2">
      <c r="A201" t="str">
        <f>B201&amp;C201&amp;H201&amp;N201</f>
        <v>35000186SC BöckingenC-Junioren1</v>
      </c>
      <c r="B201" t="s">
        <v>238</v>
      </c>
      <c r="C201" t="s">
        <v>239</v>
      </c>
      <c r="D201" t="s">
        <v>34</v>
      </c>
      <c r="E201" t="s">
        <v>35</v>
      </c>
      <c r="F201" t="s">
        <v>36</v>
      </c>
      <c r="G201">
        <v>3</v>
      </c>
      <c r="H201" t="s">
        <v>594</v>
      </c>
      <c r="I201" t="s">
        <v>114</v>
      </c>
      <c r="J201" t="s">
        <v>683</v>
      </c>
      <c r="K201" t="s">
        <v>697</v>
      </c>
      <c r="L201" t="s">
        <v>1361</v>
      </c>
      <c r="M201">
        <v>3</v>
      </c>
      <c r="N201">
        <v>1</v>
      </c>
      <c r="O201" t="s">
        <v>241</v>
      </c>
      <c r="P201" t="s">
        <v>40</v>
      </c>
      <c r="Q201" t="s">
        <v>53</v>
      </c>
      <c r="R201" t="s">
        <v>41</v>
      </c>
      <c r="U201" t="s">
        <v>226</v>
      </c>
      <c r="V201" t="s">
        <v>43</v>
      </c>
      <c r="W201" t="s">
        <v>43</v>
      </c>
      <c r="Y201" t="s">
        <v>242</v>
      </c>
      <c r="Z201" t="s">
        <v>45</v>
      </c>
      <c r="AA201" t="s">
        <v>89</v>
      </c>
      <c r="AB201" t="s">
        <v>43</v>
      </c>
      <c r="AC201" t="s">
        <v>43</v>
      </c>
      <c r="AD201" t="s">
        <v>43</v>
      </c>
      <c r="AE201" t="s">
        <v>43</v>
      </c>
      <c r="AF201" t="str">
        <f>AA201</f>
        <v>Böckingen (SC) Kunstrasen, Viehweide 5, 74080 Heilbronn-Böckingen</v>
      </c>
      <c r="AG201" t="str">
        <f>TRIM(MID(AF201, FIND(", ", AF201)+2, FIND(", ", AF201, FIND(", ", AF201)+1) - FIND(", ", AF201) - 2))</f>
        <v>Viehweide 5</v>
      </c>
      <c r="AH201" t="str">
        <f>_xlfn.TEXTBEFORE(_xlfn.TEXTAFTER(AF201, ", ", 2), " ")</f>
        <v>74080</v>
      </c>
      <c r="AI201" t="str">
        <f>_xlfn.TEXTAFTER(_xlfn.TEXTAFTER(AF201, ", ", 2), " ")</f>
        <v>Heilbronn-Böckingen</v>
      </c>
    </row>
    <row r="202" spans="1:35" x14ac:dyDescent="0.2">
      <c r="A202" t="str">
        <f>B202&amp;C202&amp;H202&amp;N202</f>
        <v>35000370TSV ErlenbachC-Junioren1</v>
      </c>
      <c r="B202" t="s">
        <v>701</v>
      </c>
      <c r="C202" t="s">
        <v>702</v>
      </c>
      <c r="D202" t="s">
        <v>34</v>
      </c>
      <c r="E202" t="s">
        <v>35</v>
      </c>
      <c r="F202" t="s">
        <v>36</v>
      </c>
      <c r="G202">
        <v>3</v>
      </c>
      <c r="H202" t="s">
        <v>594</v>
      </c>
      <c r="I202" t="s">
        <v>114</v>
      </c>
      <c r="J202" t="s">
        <v>683</v>
      </c>
      <c r="K202" t="s">
        <v>697</v>
      </c>
      <c r="L202" t="s">
        <v>1361</v>
      </c>
      <c r="M202">
        <v>5</v>
      </c>
      <c r="N202">
        <v>1</v>
      </c>
      <c r="O202" t="s">
        <v>703</v>
      </c>
      <c r="P202" t="s">
        <v>40</v>
      </c>
      <c r="Q202" t="s">
        <v>40</v>
      </c>
      <c r="R202" t="s">
        <v>41</v>
      </c>
      <c r="U202" t="s">
        <v>118</v>
      </c>
      <c r="V202" t="s">
        <v>43</v>
      </c>
      <c r="W202" t="s">
        <v>43</v>
      </c>
      <c r="Y202" t="s">
        <v>43</v>
      </c>
      <c r="Z202" t="s">
        <v>45</v>
      </c>
      <c r="AA202" t="s">
        <v>704</v>
      </c>
      <c r="AB202" t="s">
        <v>43</v>
      </c>
      <c r="AC202" t="s">
        <v>43</v>
      </c>
      <c r="AD202" t="s">
        <v>43</v>
      </c>
      <c r="AE202" t="s">
        <v>43</v>
      </c>
      <c r="AF202" t="str">
        <f>AA202</f>
        <v>Erlenbach Kunstrasen, Talstr. 21, 74235 Erlenbach-Zentrum</v>
      </c>
      <c r="AG202" t="str">
        <f>TRIM(MID(AF202, FIND(", ", AF202)+2, FIND(", ", AF202, FIND(", ", AF202)+1) - FIND(", ", AF202) - 2))</f>
        <v>Talstr. 21</v>
      </c>
      <c r="AH202" t="str">
        <f>_xlfn.TEXTBEFORE(_xlfn.TEXTAFTER(AF202, ", ", 2), " ")</f>
        <v>74235</v>
      </c>
      <c r="AI202" t="str">
        <f>_xlfn.TEXTAFTER(_xlfn.TEXTAFTER(AF202, ", ", 2), " ")</f>
        <v>Erlenbach-Zentrum</v>
      </c>
    </row>
    <row r="203" spans="1:35" x14ac:dyDescent="0.2">
      <c r="A203" t="str">
        <f>B203&amp;C203&amp;H203&amp;N203</f>
        <v>35000411Sportverein Heilbronn am Leinbach 1891C-Junioren3</v>
      </c>
      <c r="B203" t="s">
        <v>223</v>
      </c>
      <c r="C203" t="s">
        <v>224</v>
      </c>
      <c r="D203" t="s">
        <v>34</v>
      </c>
      <c r="E203" t="s">
        <v>35</v>
      </c>
      <c r="F203" t="s">
        <v>36</v>
      </c>
      <c r="G203">
        <v>3</v>
      </c>
      <c r="H203" t="s">
        <v>594</v>
      </c>
      <c r="I203" t="s">
        <v>114</v>
      </c>
      <c r="J203" t="s">
        <v>683</v>
      </c>
      <c r="K203" t="s">
        <v>697</v>
      </c>
      <c r="L203" t="s">
        <v>1361</v>
      </c>
      <c r="M203">
        <v>6</v>
      </c>
      <c r="N203">
        <v>3</v>
      </c>
      <c r="O203" t="s">
        <v>707</v>
      </c>
      <c r="P203" t="s">
        <v>40</v>
      </c>
      <c r="Q203" t="s">
        <v>40</v>
      </c>
      <c r="R203" t="s">
        <v>41</v>
      </c>
      <c r="U203" t="s">
        <v>226</v>
      </c>
      <c r="V203" t="s">
        <v>43</v>
      </c>
      <c r="W203" t="s">
        <v>43</v>
      </c>
      <c r="Y203" t="s">
        <v>43</v>
      </c>
      <c r="Z203" t="s">
        <v>45</v>
      </c>
      <c r="AA203" t="s">
        <v>490</v>
      </c>
      <c r="AB203" t="s">
        <v>491</v>
      </c>
      <c r="AC203" t="s">
        <v>228</v>
      </c>
      <c r="AD203" t="s">
        <v>43</v>
      </c>
      <c r="AE203" t="s">
        <v>43</v>
      </c>
      <c r="AF203" t="str">
        <f>AC203</f>
        <v>Frankenbach Rasen, Riedweg 52, 74078 Heilbronn-Frankenbach</v>
      </c>
      <c r="AG203" t="str">
        <f>TRIM(MID(AF203, FIND(", ", AF203)+2, FIND(", ", AF203, FIND(", ", AF203)+1) - FIND(", ", AF203) - 2))</f>
        <v>Riedweg 52</v>
      </c>
      <c r="AH203" t="str">
        <f>_xlfn.TEXTBEFORE(_xlfn.TEXTAFTER(AF203, ", ", 2), " ")</f>
        <v>74078</v>
      </c>
      <c r="AI203" t="str">
        <f>_xlfn.TEXTAFTER(_xlfn.TEXTAFTER(AF203, ", ", 2), " ")</f>
        <v>Heilbronn-Frankenbach</v>
      </c>
    </row>
    <row r="204" spans="1:35" x14ac:dyDescent="0.2">
      <c r="A204" t="str">
        <f>B204&amp;C204&amp;H204&amp;N204</f>
        <v>35000905Neckarsulmer Sport-UnionC-Junioren2</v>
      </c>
      <c r="B204" t="s">
        <v>97</v>
      </c>
      <c r="C204" t="s">
        <v>98</v>
      </c>
      <c r="D204" t="s">
        <v>34</v>
      </c>
      <c r="E204" t="s">
        <v>35</v>
      </c>
      <c r="F204" t="s">
        <v>36</v>
      </c>
      <c r="G204">
        <v>3</v>
      </c>
      <c r="H204" t="s">
        <v>594</v>
      </c>
      <c r="I204" t="s">
        <v>114</v>
      </c>
      <c r="J204" t="s">
        <v>683</v>
      </c>
      <c r="K204" t="s">
        <v>697</v>
      </c>
      <c r="L204" t="s">
        <v>1361</v>
      </c>
      <c r="M204">
        <v>8</v>
      </c>
      <c r="N204">
        <v>2</v>
      </c>
      <c r="O204" t="s">
        <v>705</v>
      </c>
      <c r="P204" t="s">
        <v>40</v>
      </c>
      <c r="Q204" t="s">
        <v>53</v>
      </c>
      <c r="R204" t="s">
        <v>41</v>
      </c>
      <c r="U204" s="2" t="s">
        <v>226</v>
      </c>
      <c r="V204" t="s">
        <v>43</v>
      </c>
      <c r="W204" t="s">
        <v>43</v>
      </c>
      <c r="Y204" t="s">
        <v>43</v>
      </c>
      <c r="Z204" t="s">
        <v>45</v>
      </c>
      <c r="AA204" t="s">
        <v>706</v>
      </c>
      <c r="AB204" t="s">
        <v>43</v>
      </c>
      <c r="AC204" t="s">
        <v>43</v>
      </c>
      <c r="AD204" t="s">
        <v>43</v>
      </c>
      <c r="AE204" t="s">
        <v>43</v>
      </c>
      <c r="AF204" t="str">
        <f>AA204</f>
        <v>Neckarsulm Pichterich Rasen 2, Pichterichstr. 71, 74172 Neckarsulm-Zentrum</v>
      </c>
      <c r="AG204" t="str">
        <f>TRIM(MID(AF204, FIND(", ", AF204)+2, FIND(", ", AF204, FIND(", ", AF204)+1) - FIND(", ", AF204) - 2))</f>
        <v>Pichterichstr. 71</v>
      </c>
      <c r="AH204" t="str">
        <f>_xlfn.TEXTBEFORE(_xlfn.TEXTAFTER(AF204, ", ", 2), " ")</f>
        <v>74172</v>
      </c>
      <c r="AI204" t="str">
        <f>_xlfn.TEXTAFTER(_xlfn.TEXTAFTER(AF204, ", ", 2), " ")</f>
        <v>Neckarsulm-Zentrum</v>
      </c>
    </row>
    <row r="205" spans="1:35" x14ac:dyDescent="0.2">
      <c r="A205" t="str">
        <f>B205&amp;C205&amp;H205&amp;N205</f>
        <v>35001347TSV Talheim (Franken)C-Junioren1</v>
      </c>
      <c r="B205" t="s">
        <v>492</v>
      </c>
      <c r="C205" t="s">
        <v>493</v>
      </c>
      <c r="D205" t="s">
        <v>34</v>
      </c>
      <c r="E205" t="s">
        <v>35</v>
      </c>
      <c r="F205" t="s">
        <v>36</v>
      </c>
      <c r="G205">
        <v>3</v>
      </c>
      <c r="H205" t="s">
        <v>594</v>
      </c>
      <c r="I205" t="s">
        <v>114</v>
      </c>
      <c r="J205" t="s">
        <v>683</v>
      </c>
      <c r="K205" t="s">
        <v>697</v>
      </c>
      <c r="L205" t="s">
        <v>1361</v>
      </c>
      <c r="M205">
        <v>10</v>
      </c>
      <c r="N205">
        <v>1</v>
      </c>
      <c r="O205" t="s">
        <v>494</v>
      </c>
      <c r="P205" t="s">
        <v>40</v>
      </c>
      <c r="Q205" t="s">
        <v>53</v>
      </c>
      <c r="R205" t="s">
        <v>41</v>
      </c>
      <c r="U205" t="s">
        <v>226</v>
      </c>
      <c r="V205" t="s">
        <v>43</v>
      </c>
      <c r="W205" t="s">
        <v>43</v>
      </c>
      <c r="Y205" t="s">
        <v>43</v>
      </c>
      <c r="Z205" t="s">
        <v>45</v>
      </c>
      <c r="AA205" t="s">
        <v>496</v>
      </c>
      <c r="AB205" t="s">
        <v>43</v>
      </c>
      <c r="AC205" t="s">
        <v>43</v>
      </c>
      <c r="AD205" t="s">
        <v>43</v>
      </c>
      <c r="AE205" t="s">
        <v>43</v>
      </c>
      <c r="AF205" t="str">
        <f>AA205</f>
        <v>Talheim Rasen, Sontheimer Str., 74388 Talheim-Zentrum</v>
      </c>
      <c r="AG205" t="str">
        <f>TRIM(MID(AF205, FIND(", ", AF205)+2, FIND(", ", AF205, FIND(", ", AF205)+1) - FIND(", ", AF205) - 2))</f>
        <v>Sontheimer Str.</v>
      </c>
      <c r="AH205" t="str">
        <f>_xlfn.TEXTBEFORE(_xlfn.TEXTAFTER(AF205, ", ", 2), " ")</f>
        <v>74388</v>
      </c>
      <c r="AI205" t="str">
        <f>_xlfn.TEXTAFTER(_xlfn.TEXTAFTER(AF205, ", ", 2), " ")</f>
        <v>Talheim-Zentrum</v>
      </c>
    </row>
    <row r="206" spans="1:35" x14ac:dyDescent="0.2">
      <c r="A206" t="str">
        <f>B206&amp;C206&amp;H206&amp;N206</f>
        <v>35001490TSV WeinsbergC-Junioren1</v>
      </c>
      <c r="B206" t="s">
        <v>235</v>
      </c>
      <c r="C206" t="s">
        <v>236</v>
      </c>
      <c r="D206" t="s">
        <v>34</v>
      </c>
      <c r="E206" t="s">
        <v>35</v>
      </c>
      <c r="F206" t="s">
        <v>36</v>
      </c>
      <c r="G206">
        <v>3</v>
      </c>
      <c r="H206" t="s">
        <v>594</v>
      </c>
      <c r="I206" t="s">
        <v>114</v>
      </c>
      <c r="J206" t="s">
        <v>683</v>
      </c>
      <c r="K206" t="s">
        <v>697</v>
      </c>
      <c r="L206" t="s">
        <v>1361</v>
      </c>
      <c r="M206">
        <v>7</v>
      </c>
      <c r="N206">
        <v>1</v>
      </c>
      <c r="O206" t="s">
        <v>236</v>
      </c>
      <c r="P206" t="s">
        <v>40</v>
      </c>
      <c r="Q206" t="s">
        <v>40</v>
      </c>
      <c r="R206" t="s">
        <v>41</v>
      </c>
      <c r="U206" t="s">
        <v>118</v>
      </c>
      <c r="V206" t="s">
        <v>43</v>
      </c>
      <c r="W206" t="s">
        <v>43</v>
      </c>
      <c r="Y206" t="s">
        <v>43</v>
      </c>
      <c r="Z206" t="s">
        <v>45</v>
      </c>
      <c r="AA206" t="s">
        <v>237</v>
      </c>
      <c r="AB206" t="s">
        <v>43</v>
      </c>
      <c r="AC206" t="s">
        <v>43</v>
      </c>
      <c r="AD206" t="s">
        <v>43</v>
      </c>
      <c r="AE206" t="s">
        <v>43</v>
      </c>
      <c r="AF206" t="str">
        <f>AA206</f>
        <v>Weinsberg Rasen 2, Rappenhofweg, 74189 Weinsberg-Zentrum</v>
      </c>
      <c r="AG206" t="str">
        <f>TRIM(MID(AF206, FIND(", ", AF206)+2, FIND(", ", AF206, FIND(", ", AF206)+1) - FIND(", ", AF206) - 2))</f>
        <v>Rappenhofweg</v>
      </c>
      <c r="AH206" t="str">
        <f>_xlfn.TEXTBEFORE(_xlfn.TEXTAFTER(AF206, ", ", 2), " ")</f>
        <v>74189</v>
      </c>
      <c r="AI206" t="str">
        <f>_xlfn.TEXTAFTER(_xlfn.TEXTAFTER(AF206, ", ", 2), " ")</f>
        <v>Weinsberg-Zentrum</v>
      </c>
    </row>
    <row r="207" spans="1:35" x14ac:dyDescent="0.2">
      <c r="A207" t="str">
        <f>B207&amp;C207&amp;H207&amp;N207</f>
        <v>35002168TSG HeilbronnC-Junioren1</v>
      </c>
      <c r="B207" t="s">
        <v>349</v>
      </c>
      <c r="C207" t="s">
        <v>350</v>
      </c>
      <c r="D207" t="s">
        <v>34</v>
      </c>
      <c r="E207" t="s">
        <v>35</v>
      </c>
      <c r="F207" t="s">
        <v>36</v>
      </c>
      <c r="G207">
        <v>3</v>
      </c>
      <c r="H207" t="s">
        <v>594</v>
      </c>
      <c r="I207" t="s">
        <v>114</v>
      </c>
      <c r="J207" t="s">
        <v>683</v>
      </c>
      <c r="K207" t="s">
        <v>697</v>
      </c>
      <c r="L207" t="s">
        <v>1361</v>
      </c>
      <c r="M207">
        <v>2</v>
      </c>
      <c r="N207">
        <v>1</v>
      </c>
      <c r="O207" t="s">
        <v>708</v>
      </c>
      <c r="P207" t="s">
        <v>40</v>
      </c>
      <c r="Q207" t="s">
        <v>53</v>
      </c>
      <c r="R207" t="s">
        <v>41</v>
      </c>
      <c r="U207" t="s">
        <v>118</v>
      </c>
      <c r="V207" t="s">
        <v>43</v>
      </c>
      <c r="W207" t="s">
        <v>43</v>
      </c>
      <c r="X207" t="s">
        <v>709</v>
      </c>
      <c r="Y207" s="4" t="s">
        <v>710</v>
      </c>
      <c r="Z207" t="s">
        <v>45</v>
      </c>
      <c r="AA207" t="s">
        <v>351</v>
      </c>
      <c r="AB207" t="s">
        <v>43</v>
      </c>
      <c r="AC207" t="s">
        <v>43</v>
      </c>
      <c r="AD207" t="s">
        <v>43</v>
      </c>
      <c r="AE207" t="s">
        <v>43</v>
      </c>
      <c r="AF207" t="str">
        <f>AA207</f>
        <v>Wertwiesen (TSG) Rasen 1, Wertwiesen 8, 74081 Heilbronn-Sontheim</v>
      </c>
      <c r="AG207" t="str">
        <f>TRIM(MID(AF207, FIND(", ", AF207)+2, FIND(", ", AF207, FIND(", ", AF207)+1) - FIND(", ", AF207) - 2))</f>
        <v>Wertwiesen 8</v>
      </c>
      <c r="AH207" t="str">
        <f>_xlfn.TEXTBEFORE(_xlfn.TEXTAFTER(AF207, ", ", 2), " ")</f>
        <v>74081</v>
      </c>
      <c r="AI207" t="str">
        <f>_xlfn.TEXTAFTER(_xlfn.TEXTAFTER(AF207, ", ", 2), " ")</f>
        <v>Heilbronn-Sontheim</v>
      </c>
    </row>
    <row r="208" spans="1:35" x14ac:dyDescent="0.2">
      <c r="A208" t="str">
        <f>B208&amp;C208&amp;H208&amp;N208</f>
        <v>35002225Aramäer HeilbronnC-Junioren1</v>
      </c>
      <c r="B208" t="s">
        <v>334</v>
      </c>
      <c r="C208" t="s">
        <v>335</v>
      </c>
      <c r="D208" t="s">
        <v>34</v>
      </c>
      <c r="E208" t="s">
        <v>35</v>
      </c>
      <c r="F208" t="s">
        <v>36</v>
      </c>
      <c r="G208">
        <v>3</v>
      </c>
      <c r="H208" t="s">
        <v>594</v>
      </c>
      <c r="I208" t="s">
        <v>114</v>
      </c>
      <c r="J208" t="s">
        <v>683</v>
      </c>
      <c r="K208" t="s">
        <v>697</v>
      </c>
      <c r="L208" t="s">
        <v>1361</v>
      </c>
      <c r="M208">
        <v>9</v>
      </c>
      <c r="N208">
        <v>1</v>
      </c>
      <c r="O208" t="s">
        <v>335</v>
      </c>
      <c r="P208" t="s">
        <v>40</v>
      </c>
      <c r="Q208" t="s">
        <v>53</v>
      </c>
      <c r="R208" t="s">
        <v>41</v>
      </c>
      <c r="U208" t="s">
        <v>226</v>
      </c>
      <c r="V208" t="s">
        <v>43</v>
      </c>
      <c r="W208" t="s">
        <v>43</v>
      </c>
      <c r="Y208" t="s">
        <v>43</v>
      </c>
      <c r="Z208" t="s">
        <v>45</v>
      </c>
      <c r="AA208" t="s">
        <v>337</v>
      </c>
      <c r="AB208" t="s">
        <v>43</v>
      </c>
      <c r="AC208" t="s">
        <v>43</v>
      </c>
      <c r="AD208" t="s">
        <v>43</v>
      </c>
      <c r="AE208" t="s">
        <v>43</v>
      </c>
      <c r="AF208" t="str">
        <f>AA208</f>
        <v>Sontheim Schulrasenplatz, Max-von-Laue-Str. 1-3, 74081 Heilbronn-Sontheim</v>
      </c>
      <c r="AG208" t="str">
        <f>TRIM(MID(AF208, FIND(", ", AF208)+2, FIND(", ", AF208, FIND(", ", AF208)+1) - FIND(", ", AF208) - 2))</f>
        <v>Max-von-Laue-Str. 1-3</v>
      </c>
      <c r="AH208" t="str">
        <f>_xlfn.TEXTBEFORE(_xlfn.TEXTAFTER(AF208, ", ", 2), " ")</f>
        <v>74081</v>
      </c>
      <c r="AI208" t="str">
        <f>_xlfn.TEXTAFTER(_xlfn.TEXTAFTER(AF208, ", ", 2), " ")</f>
        <v>Heilbronn-Sontheim</v>
      </c>
    </row>
    <row r="209" spans="1:35" x14ac:dyDescent="0.2">
      <c r="A209" t="str">
        <f>B209&amp;C209&amp;H209&amp;N209</f>
        <v>35000204TSV BotenheimC-Junioren2</v>
      </c>
      <c r="B209" t="s">
        <v>608</v>
      </c>
      <c r="C209" t="s">
        <v>609</v>
      </c>
      <c r="D209" t="s">
        <v>34</v>
      </c>
      <c r="E209" t="s">
        <v>35</v>
      </c>
      <c r="F209" t="s">
        <v>36</v>
      </c>
      <c r="G209">
        <v>3</v>
      </c>
      <c r="H209" t="s">
        <v>594</v>
      </c>
      <c r="I209" t="s">
        <v>114</v>
      </c>
      <c r="J209" t="s">
        <v>683</v>
      </c>
      <c r="K209" t="s">
        <v>711</v>
      </c>
      <c r="L209" t="s">
        <v>1365</v>
      </c>
      <c r="M209">
        <v>8</v>
      </c>
      <c r="N209">
        <v>2</v>
      </c>
      <c r="O209" t="s">
        <v>712</v>
      </c>
      <c r="P209" t="s">
        <v>40</v>
      </c>
      <c r="Q209" t="s">
        <v>53</v>
      </c>
      <c r="R209" t="s">
        <v>41</v>
      </c>
      <c r="U209" t="s">
        <v>226</v>
      </c>
      <c r="V209" t="s">
        <v>43</v>
      </c>
      <c r="W209" t="s">
        <v>43</v>
      </c>
      <c r="Y209" t="s">
        <v>43</v>
      </c>
      <c r="Z209" t="s">
        <v>45</v>
      </c>
      <c r="AA209" t="s">
        <v>713</v>
      </c>
      <c r="AB209" t="s">
        <v>43</v>
      </c>
      <c r="AC209" t="s">
        <v>43</v>
      </c>
      <c r="AD209" t="s">
        <v>43</v>
      </c>
      <c r="AE209" t="s">
        <v>43</v>
      </c>
      <c r="AF209" t="str">
        <f>AA209</f>
        <v>Cleebronn Rasen 2, Schützenstr., 74389 Cleebronn-Zentrum</v>
      </c>
      <c r="AG209" t="str">
        <f>TRIM(MID(AF209, FIND(", ", AF209)+2, FIND(", ", AF209, FIND(", ", AF209)+1) - FIND(", ", AF209) - 2))</f>
        <v>Schützenstr.</v>
      </c>
      <c r="AH209" t="str">
        <f>_xlfn.TEXTBEFORE(_xlfn.TEXTAFTER(AF209, ", ", 2), " ")</f>
        <v>74389</v>
      </c>
      <c r="AI209" t="str">
        <f>_xlfn.TEXTAFTER(_xlfn.TEXTAFTER(AF209, ", ", 2), " ")</f>
        <v>Cleebronn-Zentrum</v>
      </c>
    </row>
    <row r="210" spans="1:35" x14ac:dyDescent="0.2">
      <c r="A210" t="str">
        <f>B210&amp;C210&amp;H210&amp;N210</f>
        <v>35000515TSV GüglingenC-Junioren1</v>
      </c>
      <c r="B210" t="s">
        <v>715</v>
      </c>
      <c r="C210" t="s">
        <v>716</v>
      </c>
      <c r="D210" t="s">
        <v>34</v>
      </c>
      <c r="E210" t="s">
        <v>35</v>
      </c>
      <c r="F210" t="s">
        <v>36</v>
      </c>
      <c r="G210">
        <v>3</v>
      </c>
      <c r="H210" t="s">
        <v>594</v>
      </c>
      <c r="I210" t="s">
        <v>114</v>
      </c>
      <c r="J210" t="s">
        <v>683</v>
      </c>
      <c r="K210" t="s">
        <v>711</v>
      </c>
      <c r="L210" t="s">
        <v>1365</v>
      </c>
      <c r="M210">
        <v>5</v>
      </c>
      <c r="N210">
        <v>1</v>
      </c>
      <c r="O210" t="s">
        <v>717</v>
      </c>
      <c r="P210" t="s">
        <v>40</v>
      </c>
      <c r="Q210" t="s">
        <v>40</v>
      </c>
      <c r="R210" t="s">
        <v>41</v>
      </c>
      <c r="U210" t="s">
        <v>226</v>
      </c>
      <c r="V210" t="s">
        <v>43</v>
      </c>
      <c r="W210" t="s">
        <v>43</v>
      </c>
      <c r="Y210" t="s">
        <v>43</v>
      </c>
      <c r="Z210" t="s">
        <v>45</v>
      </c>
      <c r="AA210" t="s">
        <v>718</v>
      </c>
      <c r="AB210" t="s">
        <v>43</v>
      </c>
      <c r="AC210" t="s">
        <v>43</v>
      </c>
      <c r="AD210" t="s">
        <v>43</v>
      </c>
      <c r="AE210" t="s">
        <v>43</v>
      </c>
      <c r="AF210" t="str">
        <f>AA210</f>
        <v>Güglingen Rasen 1 (Stadion), An der Weinsteige 1, 74363 Güglingen-Zentrum</v>
      </c>
      <c r="AG210" t="str">
        <f>TRIM(MID(AF210, FIND(", ", AF210)+2, FIND(", ", AF210, FIND(", ", AF210)+1) - FIND(", ", AF210) - 2))</f>
        <v>An der Weinsteige 1</v>
      </c>
      <c r="AH210" t="str">
        <f>_xlfn.TEXTBEFORE(_xlfn.TEXTAFTER(AF210, ", ", 2), " ")</f>
        <v>74363</v>
      </c>
      <c r="AI210" t="str">
        <f>_xlfn.TEXTAFTER(_xlfn.TEXTAFTER(AF210, ", ", 2), " ")</f>
        <v>Güglingen-Zentrum</v>
      </c>
    </row>
    <row r="211" spans="1:35" x14ac:dyDescent="0.2">
      <c r="A211" t="str">
        <f>B211&amp;C211&amp;H211&amp;N211</f>
        <v>35000716FC KirchhausenC-Junioren1</v>
      </c>
      <c r="B211" t="s">
        <v>137</v>
      </c>
      <c r="C211" t="s">
        <v>138</v>
      </c>
      <c r="D211" t="s">
        <v>34</v>
      </c>
      <c r="E211" t="s">
        <v>35</v>
      </c>
      <c r="F211" t="s">
        <v>36</v>
      </c>
      <c r="G211">
        <v>3</v>
      </c>
      <c r="H211" t="s">
        <v>594</v>
      </c>
      <c r="I211" t="s">
        <v>114</v>
      </c>
      <c r="J211" t="s">
        <v>683</v>
      </c>
      <c r="K211" t="s">
        <v>711</v>
      </c>
      <c r="L211" t="s">
        <v>1365</v>
      </c>
      <c r="M211">
        <v>3</v>
      </c>
      <c r="N211">
        <v>1</v>
      </c>
      <c r="O211" t="s">
        <v>719</v>
      </c>
      <c r="P211" t="s">
        <v>40</v>
      </c>
      <c r="Q211" t="s">
        <v>53</v>
      </c>
      <c r="R211" t="s">
        <v>41</v>
      </c>
      <c r="U211" t="s">
        <v>226</v>
      </c>
      <c r="V211" t="s">
        <v>43</v>
      </c>
      <c r="W211" t="s">
        <v>43</v>
      </c>
      <c r="Y211" t="s">
        <v>720</v>
      </c>
      <c r="Z211" t="s">
        <v>45</v>
      </c>
      <c r="AA211" t="s">
        <v>721</v>
      </c>
      <c r="AB211" t="s">
        <v>722</v>
      </c>
      <c r="AC211" t="s">
        <v>140</v>
      </c>
      <c r="AD211" t="s">
        <v>43</v>
      </c>
      <c r="AE211" t="s">
        <v>43</v>
      </c>
      <c r="AF211" t="str">
        <f>AC211</f>
        <v>Kirchhausen Kunstrasenplatz, Steinbrünnleswiesen 1, 74078 Heilbronn-Kirchhausen</v>
      </c>
      <c r="AG211" t="str">
        <f>TRIM(MID(AF211, FIND(", ", AF211)+2, FIND(", ", AF211, FIND(", ", AF211)+1) - FIND(", ", AF211) - 2))</f>
        <v>Steinbrünnleswiesen 1</v>
      </c>
      <c r="AH211" t="str">
        <f>_xlfn.TEXTBEFORE(_xlfn.TEXTAFTER(AF211, ", ", 2), " ")</f>
        <v>74078</v>
      </c>
      <c r="AI211" t="str">
        <f>_xlfn.TEXTAFTER(_xlfn.TEXTAFTER(AF211, ", ", 2), " ")</f>
        <v>Heilbronn-Kirchhausen</v>
      </c>
    </row>
    <row r="212" spans="1:35" x14ac:dyDescent="0.2">
      <c r="A212" t="str">
        <f>B212&amp;C212&amp;H212&amp;N212</f>
        <v>35000777SV LeingartenC-Junioren1</v>
      </c>
      <c r="B212" t="s">
        <v>158</v>
      </c>
      <c r="C212" t="s">
        <v>159</v>
      </c>
      <c r="D212" t="s">
        <v>34</v>
      </c>
      <c r="E212" t="s">
        <v>35</v>
      </c>
      <c r="F212" t="s">
        <v>36</v>
      </c>
      <c r="G212">
        <v>3</v>
      </c>
      <c r="H212" t="s">
        <v>594</v>
      </c>
      <c r="I212" t="s">
        <v>114</v>
      </c>
      <c r="J212" t="s">
        <v>683</v>
      </c>
      <c r="K212" t="s">
        <v>711</v>
      </c>
      <c r="L212" t="s">
        <v>1365</v>
      </c>
      <c r="M212">
        <v>6</v>
      </c>
      <c r="N212">
        <v>1</v>
      </c>
      <c r="O212" t="s">
        <v>159</v>
      </c>
      <c r="P212" t="s">
        <v>40</v>
      </c>
      <c r="Q212" t="s">
        <v>53</v>
      </c>
      <c r="R212" t="s">
        <v>41</v>
      </c>
      <c r="U212" t="s">
        <v>118</v>
      </c>
      <c r="V212" t="s">
        <v>43</v>
      </c>
      <c r="W212" t="s">
        <v>43</v>
      </c>
      <c r="Y212" t="s">
        <v>43</v>
      </c>
      <c r="Z212" t="s">
        <v>45</v>
      </c>
      <c r="AA212" t="s">
        <v>63</v>
      </c>
      <c r="AB212" s="7"/>
      <c r="AC212" t="s">
        <v>43</v>
      </c>
      <c r="AD212" t="s">
        <v>43</v>
      </c>
      <c r="AE212" t="s">
        <v>43</v>
      </c>
      <c r="AF212" t="str">
        <f>AA212</f>
        <v>Leingarten Kunstrasen, Egarten, 74211 Leingarten-Großgartach</v>
      </c>
      <c r="AG212" t="str">
        <f>TRIM(MID(AF212, FIND(", ", AF212)+2, FIND(", ", AF212, FIND(", ", AF212)+1) - FIND(", ", AF212) - 2))</f>
        <v>Egarten</v>
      </c>
      <c r="AH212" t="str">
        <f>_xlfn.TEXTBEFORE(_xlfn.TEXTAFTER(AF212, ", ", 2), " ")</f>
        <v>74211</v>
      </c>
      <c r="AI212" t="str">
        <f>_xlfn.TEXTAFTER(_xlfn.TEXTAFTER(AF212, ", ", 2), " ")</f>
        <v>Leingarten-Großgartach</v>
      </c>
    </row>
    <row r="213" spans="1:35" ht="89.25" x14ac:dyDescent="0.2">
      <c r="A213" t="str">
        <f>B213&amp;C213&amp;H213&amp;N213</f>
        <v>35000837SV MassenbachhausenC-Junioren1</v>
      </c>
      <c r="B213" t="s">
        <v>723</v>
      </c>
      <c r="C213" t="s">
        <v>724</v>
      </c>
      <c r="D213" t="s">
        <v>34</v>
      </c>
      <c r="E213" t="s">
        <v>35</v>
      </c>
      <c r="F213" t="s">
        <v>36</v>
      </c>
      <c r="G213">
        <v>3</v>
      </c>
      <c r="H213" t="s">
        <v>594</v>
      </c>
      <c r="I213" t="s">
        <v>114</v>
      </c>
      <c r="J213" t="s">
        <v>683</v>
      </c>
      <c r="K213" t="s">
        <v>711</v>
      </c>
      <c r="L213" t="s">
        <v>1365</v>
      </c>
      <c r="M213">
        <v>7</v>
      </c>
      <c r="N213">
        <v>1</v>
      </c>
      <c r="O213" t="s">
        <v>725</v>
      </c>
      <c r="P213" t="s">
        <v>40</v>
      </c>
      <c r="Q213" t="s">
        <v>53</v>
      </c>
      <c r="R213" t="s">
        <v>41</v>
      </c>
      <c r="U213" t="s">
        <v>226</v>
      </c>
      <c r="V213" t="s">
        <v>43</v>
      </c>
      <c r="W213" t="s">
        <v>43</v>
      </c>
      <c r="X213" s="3" t="s">
        <v>726</v>
      </c>
      <c r="Y213" s="4" t="s">
        <v>727</v>
      </c>
      <c r="Z213" t="s">
        <v>45</v>
      </c>
      <c r="AA213" t="s">
        <v>728</v>
      </c>
      <c r="AB213" t="s">
        <v>43</v>
      </c>
      <c r="AC213" t="s">
        <v>43</v>
      </c>
      <c r="AD213" t="s">
        <v>43</v>
      </c>
      <c r="AE213" t="s">
        <v>43</v>
      </c>
      <c r="AF213" t="str">
        <f>AA213</f>
        <v>Massenbach Rasen, Mühlweg, 74193 Schwaigern-Massenbach</v>
      </c>
      <c r="AG213" t="str">
        <f>TRIM(MID(AF213, FIND(", ", AF213)+2, FIND(", ", AF213, FIND(", ", AF213)+1) - FIND(", ", AF213) - 2))</f>
        <v>Mühlweg</v>
      </c>
      <c r="AH213" t="str">
        <f>_xlfn.TEXTBEFORE(_xlfn.TEXTAFTER(AF213, ", ", 2), " ")</f>
        <v>74193</v>
      </c>
      <c r="AI213" t="str">
        <f>_xlfn.TEXTAFTER(_xlfn.TEXTAFTER(AF213, ", ", 2), " ")</f>
        <v>Schwaigern-Massenbach</v>
      </c>
    </row>
    <row r="214" spans="1:35" x14ac:dyDescent="0.2">
      <c r="A214" t="str">
        <f>B214&amp;C214&amp;H214&amp;N214</f>
        <v>35000950TSV NordhausenC-Junioren1</v>
      </c>
      <c r="B214" t="s">
        <v>729</v>
      </c>
      <c r="C214" t="s">
        <v>730</v>
      </c>
      <c r="D214" t="s">
        <v>34</v>
      </c>
      <c r="E214" t="s">
        <v>35</v>
      </c>
      <c r="F214" t="s">
        <v>36</v>
      </c>
      <c r="G214">
        <v>3</v>
      </c>
      <c r="H214" t="s">
        <v>594</v>
      </c>
      <c r="I214" t="s">
        <v>114</v>
      </c>
      <c r="J214" t="s">
        <v>683</v>
      </c>
      <c r="K214" t="s">
        <v>711</v>
      </c>
      <c r="L214" t="s">
        <v>1365</v>
      </c>
      <c r="M214">
        <v>4</v>
      </c>
      <c r="N214">
        <v>1</v>
      </c>
      <c r="O214" t="s">
        <v>731</v>
      </c>
      <c r="P214" t="s">
        <v>40</v>
      </c>
      <c r="Q214" t="s">
        <v>53</v>
      </c>
      <c r="R214" t="s">
        <v>41</v>
      </c>
      <c r="U214" t="s">
        <v>226</v>
      </c>
      <c r="V214" t="s">
        <v>43</v>
      </c>
      <c r="W214" t="s">
        <v>43</v>
      </c>
      <c r="Y214" t="s">
        <v>732</v>
      </c>
      <c r="Z214" t="s">
        <v>45</v>
      </c>
      <c r="AA214" t="s">
        <v>380</v>
      </c>
      <c r="AB214" t="s">
        <v>43</v>
      </c>
      <c r="AC214" t="s">
        <v>43</v>
      </c>
      <c r="AD214" t="s">
        <v>43</v>
      </c>
      <c r="AE214" t="s">
        <v>43</v>
      </c>
      <c r="AF214" t="str">
        <f>AA214</f>
        <v>Nordhausen Rasen 1, Raiffeisenstr., 74226 Nordheim-Nordhausen</v>
      </c>
      <c r="AG214" t="str">
        <f>TRIM(MID(AF214, FIND(", ", AF214)+2, FIND(", ", AF214, FIND(", ", AF214)+1) - FIND(", ", AF214) - 2))</f>
        <v>Raiffeisenstr.</v>
      </c>
      <c r="AH214" t="str">
        <f>_xlfn.TEXTBEFORE(_xlfn.TEXTAFTER(AF214, ", ", 2), " ")</f>
        <v>74226</v>
      </c>
      <c r="AI214" t="str">
        <f>_xlfn.TEXTAFTER(_xlfn.TEXTAFTER(AF214, ", ", 2), " ")</f>
        <v>Nordheim-Nordhausen</v>
      </c>
    </row>
    <row r="215" spans="1:35" x14ac:dyDescent="0.2">
      <c r="A215" t="str">
        <f>B215&amp;C215&amp;H215&amp;N215</f>
        <v>35001040TSV PfaffenhofenC-Junioren1</v>
      </c>
      <c r="B215" t="s">
        <v>733</v>
      </c>
      <c r="C215" t="s">
        <v>734</v>
      </c>
      <c r="D215" t="s">
        <v>34</v>
      </c>
      <c r="E215" t="s">
        <v>35</v>
      </c>
      <c r="F215" t="s">
        <v>36</v>
      </c>
      <c r="G215">
        <v>3</v>
      </c>
      <c r="H215" t="s">
        <v>594</v>
      </c>
      <c r="I215" t="s">
        <v>114</v>
      </c>
      <c r="J215" t="s">
        <v>683</v>
      </c>
      <c r="K215" t="s">
        <v>711</v>
      </c>
      <c r="L215" t="s">
        <v>1365</v>
      </c>
      <c r="M215">
        <v>2</v>
      </c>
      <c r="N215">
        <v>1</v>
      </c>
      <c r="O215" t="s">
        <v>735</v>
      </c>
      <c r="P215" t="s">
        <v>40</v>
      </c>
      <c r="Q215" t="s">
        <v>53</v>
      </c>
      <c r="R215" t="s">
        <v>41</v>
      </c>
      <c r="U215" t="s">
        <v>118</v>
      </c>
      <c r="V215" t="s">
        <v>43</v>
      </c>
      <c r="W215" t="s">
        <v>43</v>
      </c>
      <c r="X215" t="s">
        <v>736</v>
      </c>
      <c r="Y215" s="4" t="s">
        <v>737</v>
      </c>
      <c r="Z215" t="s">
        <v>45</v>
      </c>
      <c r="AA215" t="s">
        <v>738</v>
      </c>
      <c r="AB215" t="s">
        <v>43</v>
      </c>
      <c r="AC215" t="s">
        <v>43</v>
      </c>
      <c r="AD215" t="s">
        <v>43</v>
      </c>
      <c r="AE215" t="s">
        <v>43</v>
      </c>
      <c r="AF215" t="str">
        <f>AA215</f>
        <v>Pfaffenhofen Rasen 1, Im Unteren Tal, 74397 Pfaffenhofen</v>
      </c>
      <c r="AG215" t="str">
        <f>TRIM(MID(AF215, FIND(", ", AF215)+2, FIND(", ", AF215, FIND(", ", AF215)+1) - FIND(", ", AF215) - 2))</f>
        <v>Im Unteren Tal</v>
      </c>
      <c r="AH215" t="str">
        <f>_xlfn.TEXTBEFORE(_xlfn.TEXTAFTER(AF215, ", ", 2), " ")</f>
        <v>74397</v>
      </c>
      <c r="AI215" t="str">
        <f>_xlfn.TEXTAFTER(_xlfn.TEXTAFTER(AF215, ", ", 2), " ")</f>
        <v>Pfaffenhofen</v>
      </c>
    </row>
    <row r="216" spans="1:35" x14ac:dyDescent="0.2">
      <c r="A216" t="str">
        <f>B216&amp;C216&amp;H216&amp;N216</f>
        <v>35001763FSV SchwaigernC-Junioren2</v>
      </c>
      <c r="B216" t="s">
        <v>630</v>
      </c>
      <c r="C216" t="s">
        <v>631</v>
      </c>
      <c r="D216" t="s">
        <v>34</v>
      </c>
      <c r="E216" t="s">
        <v>35</v>
      </c>
      <c r="F216" t="s">
        <v>36</v>
      </c>
      <c r="G216">
        <v>3</v>
      </c>
      <c r="H216" t="s">
        <v>594</v>
      </c>
      <c r="I216" t="s">
        <v>114</v>
      </c>
      <c r="J216" t="s">
        <v>683</v>
      </c>
      <c r="K216" t="s">
        <v>711</v>
      </c>
      <c r="L216" t="s">
        <v>1365</v>
      </c>
      <c r="M216">
        <v>1</v>
      </c>
      <c r="N216">
        <v>2</v>
      </c>
      <c r="O216" t="s">
        <v>714</v>
      </c>
      <c r="P216" t="s">
        <v>40</v>
      </c>
      <c r="Q216" t="s">
        <v>53</v>
      </c>
      <c r="R216" t="s">
        <v>41</v>
      </c>
      <c r="U216" t="s">
        <v>226</v>
      </c>
      <c r="V216" t="s">
        <v>43</v>
      </c>
      <c r="W216" t="s">
        <v>43</v>
      </c>
      <c r="Y216" t="s">
        <v>43</v>
      </c>
      <c r="Z216" t="s">
        <v>45</v>
      </c>
      <c r="AA216" t="s">
        <v>633</v>
      </c>
      <c r="AB216" t="s">
        <v>43</v>
      </c>
      <c r="AC216" t="s">
        <v>43</v>
      </c>
      <c r="AD216" t="s">
        <v>43</v>
      </c>
      <c r="AE216" t="s">
        <v>43</v>
      </c>
      <c r="AF216" t="str">
        <f>AA216</f>
        <v>Jay-Cool Stadion, Falltorstr. 10, 74193 Schwaigern</v>
      </c>
      <c r="AG216" t="str">
        <f>TRIM(MID(AF216, FIND(", ", AF216)+2, FIND(", ", AF216, FIND(", ", AF216)+1) - FIND(", ", AF216) - 2))</f>
        <v>Falltorstr. 10</v>
      </c>
      <c r="AH216" t="str">
        <f>_xlfn.TEXTBEFORE(_xlfn.TEXTAFTER(AF216, ", ", 2), " ")</f>
        <v>74193</v>
      </c>
      <c r="AI216" t="str">
        <f>_xlfn.TEXTAFTER(_xlfn.TEXTAFTER(AF216, ", ", 2), " ")</f>
        <v>Schwaigern</v>
      </c>
    </row>
    <row r="217" spans="1:35" x14ac:dyDescent="0.2">
      <c r="A217" t="str">
        <f>B217&amp;C217&amp;H217&amp;N217</f>
        <v>35000370TSV ErlenbachC-Junioren2</v>
      </c>
      <c r="B217" t="s">
        <v>701</v>
      </c>
      <c r="C217" t="s">
        <v>702</v>
      </c>
      <c r="D217" t="s">
        <v>34</v>
      </c>
      <c r="E217" t="s">
        <v>35</v>
      </c>
      <c r="F217" t="s">
        <v>36</v>
      </c>
      <c r="G217">
        <v>3</v>
      </c>
      <c r="H217" t="s">
        <v>594</v>
      </c>
      <c r="I217" t="s">
        <v>114</v>
      </c>
      <c r="J217" t="s">
        <v>683</v>
      </c>
      <c r="K217" t="s">
        <v>739</v>
      </c>
      <c r="L217" t="s">
        <v>1363</v>
      </c>
      <c r="M217">
        <v>3</v>
      </c>
      <c r="N217">
        <v>2</v>
      </c>
      <c r="O217" t="s">
        <v>750</v>
      </c>
      <c r="P217" t="s">
        <v>40</v>
      </c>
      <c r="Q217" t="s">
        <v>53</v>
      </c>
      <c r="R217" t="s">
        <v>41</v>
      </c>
      <c r="U217" t="s">
        <v>226</v>
      </c>
      <c r="V217" t="s">
        <v>43</v>
      </c>
      <c r="W217" t="s">
        <v>43</v>
      </c>
      <c r="Y217" t="s">
        <v>43</v>
      </c>
      <c r="Z217" t="s">
        <v>45</v>
      </c>
      <c r="AA217" t="s">
        <v>704</v>
      </c>
      <c r="AB217" t="s">
        <v>43</v>
      </c>
      <c r="AC217" t="s">
        <v>43</v>
      </c>
      <c r="AD217" t="s">
        <v>43</v>
      </c>
      <c r="AE217" t="s">
        <v>43</v>
      </c>
      <c r="AF217" t="str">
        <f>AA217</f>
        <v>Erlenbach Kunstrasen, Talstr. 21, 74235 Erlenbach-Zentrum</v>
      </c>
      <c r="AG217" t="str">
        <f>TRIM(MID(AF217, FIND(", ", AF217)+2, FIND(", ", AF217, FIND(", ", AF217)+1) - FIND(", ", AF217) - 2))</f>
        <v>Talstr. 21</v>
      </c>
      <c r="AH217" t="str">
        <f>_xlfn.TEXTBEFORE(_xlfn.TEXTAFTER(AF217, ", ", 2), " ")</f>
        <v>74235</v>
      </c>
      <c r="AI217" t="str">
        <f>_xlfn.TEXTAFTER(_xlfn.TEXTAFTER(AF217, ", ", 2), " ")</f>
        <v>Erlenbach-Zentrum</v>
      </c>
    </row>
    <row r="218" spans="1:35" x14ac:dyDescent="0.2">
      <c r="A218" t="str">
        <f>B218&amp;C218&amp;H218&amp;N218</f>
        <v>35001520TSV WillsbachC-Junioren2</v>
      </c>
      <c r="B218" t="s">
        <v>651</v>
      </c>
      <c r="C218" t="s">
        <v>652</v>
      </c>
      <c r="D218" t="s">
        <v>34</v>
      </c>
      <c r="E218" t="s">
        <v>35</v>
      </c>
      <c r="F218" t="s">
        <v>36</v>
      </c>
      <c r="G218">
        <v>3</v>
      </c>
      <c r="H218" t="s">
        <v>594</v>
      </c>
      <c r="I218" t="s">
        <v>114</v>
      </c>
      <c r="J218" t="s">
        <v>683</v>
      </c>
      <c r="K218" t="s">
        <v>739</v>
      </c>
      <c r="L218" t="s">
        <v>1363</v>
      </c>
      <c r="M218">
        <v>7</v>
      </c>
      <c r="N218">
        <v>2</v>
      </c>
      <c r="O218" t="s">
        <v>753</v>
      </c>
      <c r="P218" t="s">
        <v>40</v>
      </c>
      <c r="Q218" t="s">
        <v>53</v>
      </c>
      <c r="R218" t="s">
        <v>41</v>
      </c>
      <c r="U218" t="s">
        <v>226</v>
      </c>
      <c r="V218" t="s">
        <v>43</v>
      </c>
      <c r="W218" t="s">
        <v>43</v>
      </c>
      <c r="Y218" t="s">
        <v>43</v>
      </c>
      <c r="Z218" t="s">
        <v>45</v>
      </c>
      <c r="AA218" t="s">
        <v>654</v>
      </c>
      <c r="AB218" t="s">
        <v>43</v>
      </c>
      <c r="AC218" t="s">
        <v>43</v>
      </c>
      <c r="AD218" t="s">
        <v>43</v>
      </c>
      <c r="AE218" t="s">
        <v>43</v>
      </c>
      <c r="AF218" t="str">
        <f>AA218</f>
        <v>Willsbach Rasen, Bahnhoffußweg 21, 74182 Obersulm-Willsbach</v>
      </c>
      <c r="AG218" t="str">
        <f>TRIM(MID(AF218, FIND(", ", AF218)+2, FIND(", ", AF218, FIND(", ", AF218)+1) - FIND(", ", AF218) - 2))</f>
        <v>Bahnhoffußweg 21</v>
      </c>
      <c r="AH218" t="str">
        <f>_xlfn.TEXTBEFORE(_xlfn.TEXTAFTER(AF218, ", ", 2), " ")</f>
        <v>74182</v>
      </c>
      <c r="AI218" t="str">
        <f>_xlfn.TEXTAFTER(_xlfn.TEXTAFTER(AF218, ", ", 2), " ")</f>
        <v>Obersulm-Willsbach</v>
      </c>
    </row>
    <row r="219" spans="1:35" x14ac:dyDescent="0.2">
      <c r="A219" t="str">
        <f>B219&amp;C219&amp;H219&amp;N219</f>
        <v>35002168TSG HeilbronnC-Junioren2</v>
      </c>
      <c r="B219" t="s">
        <v>349</v>
      </c>
      <c r="C219" t="s">
        <v>350</v>
      </c>
      <c r="D219" t="s">
        <v>34</v>
      </c>
      <c r="E219" t="s">
        <v>35</v>
      </c>
      <c r="F219" t="s">
        <v>36</v>
      </c>
      <c r="G219">
        <v>3</v>
      </c>
      <c r="H219" t="s">
        <v>594</v>
      </c>
      <c r="I219" t="s">
        <v>114</v>
      </c>
      <c r="J219" t="s">
        <v>683</v>
      </c>
      <c r="K219" t="s">
        <v>739</v>
      </c>
      <c r="L219" t="s">
        <v>1363</v>
      </c>
      <c r="M219">
        <v>10</v>
      </c>
      <c r="N219">
        <v>2</v>
      </c>
      <c r="O219" t="s">
        <v>754</v>
      </c>
      <c r="P219" t="s">
        <v>40</v>
      </c>
      <c r="Q219" t="s">
        <v>53</v>
      </c>
      <c r="R219" t="s">
        <v>41</v>
      </c>
      <c r="U219" t="s">
        <v>226</v>
      </c>
      <c r="V219" t="s">
        <v>43</v>
      </c>
      <c r="W219" t="s">
        <v>43</v>
      </c>
      <c r="X219" t="s">
        <v>755</v>
      </c>
      <c r="Y219" s="4" t="s">
        <v>710</v>
      </c>
      <c r="Z219" t="s">
        <v>45</v>
      </c>
      <c r="AA219" t="s">
        <v>351</v>
      </c>
      <c r="AB219" t="s">
        <v>43</v>
      </c>
      <c r="AC219" t="s">
        <v>43</v>
      </c>
      <c r="AD219" t="s">
        <v>43</v>
      </c>
      <c r="AE219" t="s">
        <v>43</v>
      </c>
      <c r="AF219" t="str">
        <f>AA219</f>
        <v>Wertwiesen (TSG) Rasen 1, Wertwiesen 8, 74081 Heilbronn-Sontheim</v>
      </c>
      <c r="AG219" t="str">
        <f>TRIM(MID(AF219, FIND(", ", AF219)+2, FIND(", ", AF219, FIND(", ", AF219)+1) - FIND(", ", AF219) - 2))</f>
        <v>Wertwiesen 8</v>
      </c>
      <c r="AH219" t="str">
        <f>_xlfn.TEXTBEFORE(_xlfn.TEXTAFTER(AF219, ", ", 2), " ")</f>
        <v>74081</v>
      </c>
      <c r="AI219" t="str">
        <f>_xlfn.TEXTAFTER(_xlfn.TEXTAFTER(AF219, ", ", 2), " ")</f>
        <v>Heilbronn-Sontheim</v>
      </c>
    </row>
    <row r="220" spans="1:35" x14ac:dyDescent="0.2">
      <c r="A220" t="str">
        <f>B220&amp;C220&amp;H220&amp;N220</f>
        <v>35002198FC Union HeilbronnC-Junioren3</v>
      </c>
      <c r="B220" t="s">
        <v>85</v>
      </c>
      <c r="C220" t="s">
        <v>86</v>
      </c>
      <c r="D220" t="s">
        <v>34</v>
      </c>
      <c r="E220" t="s">
        <v>35</v>
      </c>
      <c r="F220" t="s">
        <v>36</v>
      </c>
      <c r="G220">
        <v>3</v>
      </c>
      <c r="H220" t="s">
        <v>594</v>
      </c>
      <c r="I220" t="s">
        <v>114</v>
      </c>
      <c r="J220" t="s">
        <v>683</v>
      </c>
      <c r="K220" t="s">
        <v>739</v>
      </c>
      <c r="L220" t="s">
        <v>1363</v>
      </c>
      <c r="M220">
        <v>2</v>
      </c>
      <c r="N220">
        <v>3</v>
      </c>
      <c r="O220" t="s">
        <v>751</v>
      </c>
      <c r="P220" t="s">
        <v>40</v>
      </c>
      <c r="Q220" t="s">
        <v>40</v>
      </c>
      <c r="R220" t="s">
        <v>41</v>
      </c>
      <c r="U220" t="s">
        <v>226</v>
      </c>
      <c r="V220" t="s">
        <v>43</v>
      </c>
      <c r="W220" t="s">
        <v>43</v>
      </c>
      <c r="Y220" t="s">
        <v>752</v>
      </c>
      <c r="Z220" t="s">
        <v>45</v>
      </c>
      <c r="AA220" t="s">
        <v>100</v>
      </c>
      <c r="AB220" t="s">
        <v>43</v>
      </c>
      <c r="AC220" t="s">
        <v>43</v>
      </c>
      <c r="AD220" t="s">
        <v>43</v>
      </c>
      <c r="AE220" t="s">
        <v>43</v>
      </c>
      <c r="AF220" t="str">
        <f>AA220</f>
        <v>Neckarsulm Pichterich Kunstrasen, Pichterichstr. 71, 74172 Neckarsulm-Zentrum</v>
      </c>
      <c r="AG220" t="str">
        <f>TRIM(MID(AF220, FIND(", ", AF220)+2, FIND(", ", AF220, FIND(", ", AF220)+1) - FIND(", ", AF220) - 2))</f>
        <v>Pichterichstr. 71</v>
      </c>
      <c r="AH220" t="str">
        <f>_xlfn.TEXTBEFORE(_xlfn.TEXTAFTER(AF220, ", ", 2), " ")</f>
        <v>74172</v>
      </c>
      <c r="AI220" t="str">
        <f>_xlfn.TEXTAFTER(_xlfn.TEXTAFTER(AF220, ", ", 2), " ")</f>
        <v>Neckarsulm-Zentrum</v>
      </c>
    </row>
    <row r="221" spans="1:35" x14ac:dyDescent="0.2">
      <c r="A221" t="str">
        <f>B221&amp;C221&amp;H221&amp;N221</f>
        <v>35000243SC DahenfeldC-Junioren2</v>
      </c>
      <c r="B221" t="s">
        <v>626</v>
      </c>
      <c r="C221" t="s">
        <v>627</v>
      </c>
      <c r="D221" t="s">
        <v>77</v>
      </c>
      <c r="E221" t="s">
        <v>35</v>
      </c>
      <c r="F221" t="s">
        <v>36</v>
      </c>
      <c r="G221">
        <v>3</v>
      </c>
      <c r="H221" t="s">
        <v>594</v>
      </c>
      <c r="I221" t="s">
        <v>114</v>
      </c>
      <c r="J221" t="s">
        <v>683</v>
      </c>
      <c r="K221" t="s">
        <v>739</v>
      </c>
      <c r="L221" t="s">
        <v>1363</v>
      </c>
      <c r="M221">
        <v>9</v>
      </c>
      <c r="N221">
        <v>2</v>
      </c>
      <c r="O221" t="s">
        <v>742</v>
      </c>
      <c r="P221" t="s">
        <v>40</v>
      </c>
      <c r="Q221" t="s">
        <v>53</v>
      </c>
      <c r="R221" t="s">
        <v>41</v>
      </c>
      <c r="U221" t="s">
        <v>226</v>
      </c>
      <c r="V221" t="s">
        <v>43</v>
      </c>
      <c r="W221" t="s">
        <v>43</v>
      </c>
      <c r="Y221" t="s">
        <v>743</v>
      </c>
      <c r="Z221" t="s">
        <v>45</v>
      </c>
      <c r="AA221" t="s">
        <v>629</v>
      </c>
      <c r="AB221" t="s">
        <v>95</v>
      </c>
      <c r="AC221" t="s">
        <v>145</v>
      </c>
      <c r="AD221" t="s">
        <v>43</v>
      </c>
      <c r="AE221" t="s">
        <v>43</v>
      </c>
      <c r="AF221" t="str">
        <f>AC221</f>
        <v>Oedheim Rasen, Mörikestr. 37, 74229 Oedheim</v>
      </c>
      <c r="AG221" t="str">
        <f>TRIM(MID(AF221, FIND(", ", AF221)+2, FIND(", ", AF221, FIND(", ", AF221)+1) - FIND(", ", AF221) - 2))</f>
        <v>Mörikestr. 37</v>
      </c>
      <c r="AH221" t="str">
        <f>_xlfn.TEXTBEFORE(_xlfn.TEXTAFTER(AF221, ", ", 2), " ")</f>
        <v>74229</v>
      </c>
      <c r="AI221" t="str">
        <f>_xlfn.TEXTAFTER(_xlfn.TEXTAFTER(AF221, ", ", 2), " ")</f>
        <v>Oedheim</v>
      </c>
    </row>
    <row r="222" spans="1:35" x14ac:dyDescent="0.2">
      <c r="A222" t="str">
        <f>B222&amp;C222&amp;H222&amp;N222</f>
        <v>35000520SG GundelsheimC-Junioren1</v>
      </c>
      <c r="B222" t="s">
        <v>744</v>
      </c>
      <c r="C222" t="s">
        <v>745</v>
      </c>
      <c r="D222" t="s">
        <v>77</v>
      </c>
      <c r="E222" t="s">
        <v>35</v>
      </c>
      <c r="F222" t="s">
        <v>36</v>
      </c>
      <c r="G222">
        <v>3</v>
      </c>
      <c r="H222" t="s">
        <v>594</v>
      </c>
      <c r="I222" t="s">
        <v>114</v>
      </c>
      <c r="J222" t="s">
        <v>683</v>
      </c>
      <c r="K222" t="s">
        <v>739</v>
      </c>
      <c r="L222" t="s">
        <v>1363</v>
      </c>
      <c r="M222">
        <v>4</v>
      </c>
      <c r="N222">
        <v>1</v>
      </c>
      <c r="O222" t="s">
        <v>746</v>
      </c>
      <c r="P222" t="s">
        <v>40</v>
      </c>
      <c r="Q222" t="s">
        <v>40</v>
      </c>
      <c r="R222" t="s">
        <v>41</v>
      </c>
      <c r="U222" t="s">
        <v>118</v>
      </c>
      <c r="V222" t="s">
        <v>43</v>
      </c>
      <c r="W222" t="s">
        <v>43</v>
      </c>
      <c r="Y222" t="s">
        <v>43</v>
      </c>
      <c r="Z222" t="s">
        <v>45</v>
      </c>
      <c r="AA222" t="s">
        <v>152</v>
      </c>
      <c r="AB222" t="s">
        <v>43</v>
      </c>
      <c r="AC222" t="s">
        <v>43</v>
      </c>
      <c r="AD222" t="s">
        <v>43</v>
      </c>
      <c r="AE222" t="s">
        <v>43</v>
      </c>
      <c r="AF222" t="str">
        <f>AA222</f>
        <v>Gundelsheim Kunstrasen, Danziger Str., 74831 Gundelsheim-Zentrum</v>
      </c>
      <c r="AG222" t="str">
        <f>TRIM(MID(AF222, FIND(", ", AF222)+2, FIND(", ", AF222, FIND(", ", AF222)+1) - FIND(", ", AF222) - 2))</f>
        <v>Danziger Str.</v>
      </c>
      <c r="AH222" t="str">
        <f>_xlfn.TEXTBEFORE(_xlfn.TEXTAFTER(AF222, ", ", 2), " ")</f>
        <v>74831</v>
      </c>
      <c r="AI222" t="str">
        <f>_xlfn.TEXTAFTER(_xlfn.TEXTAFTER(AF222, ", ", 2), " ")</f>
        <v>Gundelsheim-Zentrum</v>
      </c>
    </row>
    <row r="223" spans="1:35" x14ac:dyDescent="0.2">
      <c r="A223" t="str">
        <f>B223&amp;C223&amp;H223&amp;N223</f>
        <v>35000865Spvgg MöckmühlC-Junioren2</v>
      </c>
      <c r="B223" t="s">
        <v>639</v>
      </c>
      <c r="C223" t="s">
        <v>640</v>
      </c>
      <c r="D223" t="s">
        <v>77</v>
      </c>
      <c r="E223" t="s">
        <v>35</v>
      </c>
      <c r="F223" t="s">
        <v>36</v>
      </c>
      <c r="G223">
        <v>3</v>
      </c>
      <c r="H223" t="s">
        <v>594</v>
      </c>
      <c r="I223" t="s">
        <v>114</v>
      </c>
      <c r="J223" t="s">
        <v>683</v>
      </c>
      <c r="K223" t="s">
        <v>739</v>
      </c>
      <c r="L223" t="s">
        <v>1363</v>
      </c>
      <c r="M223">
        <v>8</v>
      </c>
      <c r="N223">
        <v>2</v>
      </c>
      <c r="O223" t="s">
        <v>749</v>
      </c>
      <c r="P223" t="s">
        <v>40</v>
      </c>
      <c r="Q223" t="s">
        <v>53</v>
      </c>
      <c r="R223" t="s">
        <v>41</v>
      </c>
      <c r="U223" t="s">
        <v>226</v>
      </c>
      <c r="V223" t="s">
        <v>43</v>
      </c>
      <c r="W223" t="s">
        <v>43</v>
      </c>
      <c r="Y223" t="s">
        <v>43</v>
      </c>
      <c r="Z223" t="s">
        <v>45</v>
      </c>
      <c r="AA223" t="s">
        <v>642</v>
      </c>
      <c r="AB223" t="s">
        <v>43</v>
      </c>
      <c r="AC223" t="s">
        <v>43</v>
      </c>
      <c r="AD223" t="s">
        <v>43</v>
      </c>
      <c r="AE223" t="s">
        <v>43</v>
      </c>
      <c r="AF223" t="str">
        <f>AA223</f>
        <v>Möckmühl Rasen 1, Züttlinger Str. 1, 74219 Möckmühl</v>
      </c>
      <c r="AG223" t="str">
        <f>TRIM(MID(AF223, FIND(", ", AF223)+2, FIND(", ", AF223, FIND(", ", AF223)+1) - FIND(", ", AF223) - 2))</f>
        <v>Züttlinger Str. 1</v>
      </c>
      <c r="AH223" t="str">
        <f>_xlfn.TEXTBEFORE(_xlfn.TEXTAFTER(AF223, ", ", 2), " ")</f>
        <v>74219</v>
      </c>
      <c r="AI223" t="str">
        <f>_xlfn.TEXTAFTER(_xlfn.TEXTAFTER(AF223, ", ", 2), " ")</f>
        <v>Möckmühl</v>
      </c>
    </row>
    <row r="224" spans="1:35" x14ac:dyDescent="0.2">
      <c r="A224" t="str">
        <f>B224&amp;C224&amp;H224&amp;N224</f>
        <v>35000904SC Neckarsulm-AmorbachC-Junioren2</v>
      </c>
      <c r="B224" t="s">
        <v>112</v>
      </c>
      <c r="C224" t="s">
        <v>113</v>
      </c>
      <c r="D224" t="s">
        <v>77</v>
      </c>
      <c r="E224" t="s">
        <v>35</v>
      </c>
      <c r="F224" t="s">
        <v>36</v>
      </c>
      <c r="G224">
        <v>3</v>
      </c>
      <c r="H224" t="s">
        <v>594</v>
      </c>
      <c r="I224" t="s">
        <v>114</v>
      </c>
      <c r="J224" t="s">
        <v>683</v>
      </c>
      <c r="K224" t="s">
        <v>739</v>
      </c>
      <c r="L224" t="s">
        <v>1363</v>
      </c>
      <c r="M224">
        <v>5</v>
      </c>
      <c r="N224">
        <v>2</v>
      </c>
      <c r="O224" t="s">
        <v>740</v>
      </c>
      <c r="P224" t="s">
        <v>40</v>
      </c>
      <c r="Q224" t="s">
        <v>40</v>
      </c>
      <c r="R224" t="s">
        <v>41</v>
      </c>
      <c r="U224" t="s">
        <v>118</v>
      </c>
      <c r="V224" t="s">
        <v>43</v>
      </c>
      <c r="W224" t="s">
        <v>43</v>
      </c>
      <c r="Y224" t="s">
        <v>741</v>
      </c>
      <c r="Z224" t="s">
        <v>45</v>
      </c>
      <c r="AA224" t="s">
        <v>119</v>
      </c>
      <c r="AB224" t="s">
        <v>43</v>
      </c>
      <c r="AC224" t="s">
        <v>43</v>
      </c>
      <c r="AD224" t="s">
        <v>43</v>
      </c>
      <c r="AE224" t="s">
        <v>43</v>
      </c>
      <c r="AF224" t="str">
        <f>AA224</f>
        <v>Amorbach Kunstrasen, Schwabenweg 25, 74172 Neckarsulm-Amorbach</v>
      </c>
      <c r="AG224" t="str">
        <f>TRIM(MID(AF224, FIND(", ", AF224)+2, FIND(", ", AF224, FIND(", ", AF224)+1) - FIND(", ", AF224) - 2))</f>
        <v>Schwabenweg 25</v>
      </c>
      <c r="AH224" t="str">
        <f>_xlfn.TEXTBEFORE(_xlfn.TEXTAFTER(AF224, ", ", 2), " ")</f>
        <v>74172</v>
      </c>
      <c r="AI224" t="str">
        <f>_xlfn.TEXTAFTER(_xlfn.TEXTAFTER(AF224, ", ", 2), " ")</f>
        <v>Neckarsulm-Amorbach</v>
      </c>
    </row>
    <row r="225" spans="1:35" x14ac:dyDescent="0.2">
      <c r="A225" t="str">
        <f>B225&amp;C225&amp;H225&amp;N225</f>
        <v>35000923TSV NeuenstadtC-Junioren1</v>
      </c>
      <c r="B225" t="s">
        <v>141</v>
      </c>
      <c r="C225" t="s">
        <v>142</v>
      </c>
      <c r="D225" t="s">
        <v>77</v>
      </c>
      <c r="E225" t="s">
        <v>35</v>
      </c>
      <c r="F225" t="s">
        <v>36</v>
      </c>
      <c r="G225">
        <v>3</v>
      </c>
      <c r="H225" t="s">
        <v>594</v>
      </c>
      <c r="I225" t="s">
        <v>114</v>
      </c>
      <c r="J225" t="s">
        <v>683</v>
      </c>
      <c r="K225" t="s">
        <v>739</v>
      </c>
      <c r="L225" t="s">
        <v>1363</v>
      </c>
      <c r="M225">
        <v>6</v>
      </c>
      <c r="N225">
        <v>1</v>
      </c>
      <c r="O225" t="s">
        <v>747</v>
      </c>
      <c r="P225" t="s">
        <v>40</v>
      </c>
      <c r="Q225" t="s">
        <v>40</v>
      </c>
      <c r="R225" t="s">
        <v>41</v>
      </c>
      <c r="U225" t="s">
        <v>226</v>
      </c>
      <c r="V225" t="s">
        <v>43</v>
      </c>
      <c r="W225" t="s">
        <v>43</v>
      </c>
      <c r="Y225" t="s">
        <v>748</v>
      </c>
      <c r="Z225" t="s">
        <v>45</v>
      </c>
      <c r="AA225" t="s">
        <v>480</v>
      </c>
      <c r="AB225" t="s">
        <v>43</v>
      </c>
      <c r="AC225" t="s">
        <v>43</v>
      </c>
      <c r="AD225" t="s">
        <v>43</v>
      </c>
      <c r="AE225" t="s">
        <v>43</v>
      </c>
      <c r="AF225" t="str">
        <f>AA225</f>
        <v>Kochertürn Rasen, In den Mühlgärten 9, 74196 Neuenstadt am Kocher-Kochertürn</v>
      </c>
      <c r="AG225" t="str">
        <f>TRIM(MID(AF225, FIND(", ", AF225)+2, FIND(", ", AF225, FIND(", ", AF225)+1) - FIND(", ", AF225) - 2))</f>
        <v>In den Mühlgärten 9</v>
      </c>
      <c r="AH225" t="str">
        <f>_xlfn.TEXTBEFORE(_xlfn.TEXTAFTER(AF225, ", ", 2), " ")</f>
        <v>74196</v>
      </c>
      <c r="AI225" t="str">
        <f>_xlfn.TEXTAFTER(_xlfn.TEXTAFTER(AF225, ", ", 2), " ")</f>
        <v>Neuenstadt am Kocher-Kochertürn</v>
      </c>
    </row>
    <row r="226" spans="1:35" x14ac:dyDescent="0.2">
      <c r="A226" t="str">
        <f>B226&amp;C226&amp;H226&amp;N226</f>
        <v>35000932VfB NeuhüttenC-Junioren1</v>
      </c>
      <c r="B226" t="s">
        <v>302</v>
      </c>
      <c r="C226" t="s">
        <v>303</v>
      </c>
      <c r="D226" t="s">
        <v>66</v>
      </c>
      <c r="E226" t="s">
        <v>35</v>
      </c>
      <c r="F226" t="s">
        <v>50</v>
      </c>
      <c r="G226">
        <v>3</v>
      </c>
      <c r="H226" t="s">
        <v>594</v>
      </c>
      <c r="I226" t="s">
        <v>114</v>
      </c>
      <c r="J226" t="s">
        <v>683</v>
      </c>
      <c r="K226" t="s">
        <v>756</v>
      </c>
      <c r="L226" t="s">
        <v>1367</v>
      </c>
      <c r="M226">
        <v>5</v>
      </c>
      <c r="N226">
        <v>1</v>
      </c>
      <c r="O226" t="s">
        <v>773</v>
      </c>
      <c r="P226" t="s">
        <v>40</v>
      </c>
      <c r="Q226" t="s">
        <v>53</v>
      </c>
      <c r="R226" t="s">
        <v>41</v>
      </c>
      <c r="U226" t="s">
        <v>118</v>
      </c>
      <c r="V226" t="s">
        <v>43</v>
      </c>
      <c r="W226" t="s">
        <v>43</v>
      </c>
      <c r="Y226" t="s">
        <v>43</v>
      </c>
      <c r="Z226" t="s">
        <v>45</v>
      </c>
      <c r="AA226" t="s">
        <v>305</v>
      </c>
      <c r="AB226" t="s">
        <v>43</v>
      </c>
      <c r="AC226" t="s">
        <v>43</v>
      </c>
      <c r="AD226" t="s">
        <v>43</v>
      </c>
      <c r="AE226" t="s">
        <v>43</v>
      </c>
      <c r="AF226" t="str">
        <f>AA226</f>
        <v>Wüstenrot Waldsportplatz Kunstrasen, Sportgaststätte FV Wüstenrot, 71543 Wüstenrot</v>
      </c>
      <c r="AG226" t="str">
        <f>TRIM(MID(AF226, FIND(", ", AF226)+2, FIND(", ", AF226, FIND(", ", AF226)+1) - FIND(", ", AF226) - 2))</f>
        <v>Sportgaststätte FV Wüstenrot</v>
      </c>
      <c r="AH226" t="str">
        <f>_xlfn.TEXTBEFORE(_xlfn.TEXTAFTER(AF226, ", ", 2), " ")</f>
        <v>71543</v>
      </c>
      <c r="AI226" t="str">
        <f>_xlfn.TEXTAFTER(_xlfn.TEXTAFTER(AF226, ", ", 2), " ")</f>
        <v>Wüstenrot</v>
      </c>
    </row>
    <row r="227" spans="1:35" x14ac:dyDescent="0.2">
      <c r="A227" t="str">
        <f>B227&amp;C227&amp;H227&amp;N227</f>
        <v>35000150DJK-TSV BieringenC-Junioren1</v>
      </c>
      <c r="B227" t="s">
        <v>758</v>
      </c>
      <c r="C227" t="s">
        <v>759</v>
      </c>
      <c r="D227" t="s">
        <v>49</v>
      </c>
      <c r="E227" t="s">
        <v>35</v>
      </c>
      <c r="F227" t="s">
        <v>50</v>
      </c>
      <c r="G227">
        <v>3</v>
      </c>
      <c r="H227" t="s">
        <v>594</v>
      </c>
      <c r="I227" t="s">
        <v>114</v>
      </c>
      <c r="J227" t="s">
        <v>683</v>
      </c>
      <c r="K227" t="s">
        <v>756</v>
      </c>
      <c r="L227" t="s">
        <v>1367</v>
      </c>
      <c r="M227">
        <v>9</v>
      </c>
      <c r="N227">
        <v>1</v>
      </c>
      <c r="O227" t="s">
        <v>760</v>
      </c>
      <c r="P227" t="s">
        <v>40</v>
      </c>
      <c r="Q227" t="s">
        <v>40</v>
      </c>
      <c r="R227" t="s">
        <v>41</v>
      </c>
      <c r="U227" t="s">
        <v>118</v>
      </c>
      <c r="V227" t="s">
        <v>43</v>
      </c>
      <c r="W227" t="s">
        <v>43</v>
      </c>
      <c r="Y227" t="s">
        <v>43</v>
      </c>
      <c r="Z227" t="s">
        <v>45</v>
      </c>
      <c r="AA227" t="s">
        <v>761</v>
      </c>
      <c r="AB227" t="s">
        <v>43</v>
      </c>
      <c r="AC227" t="s">
        <v>43</v>
      </c>
      <c r="AD227" t="s">
        <v>43</v>
      </c>
      <c r="AE227" t="s">
        <v>43</v>
      </c>
      <c r="AF227" t="str">
        <f>AA227</f>
        <v>Sportplatz 1, DJK Bieringen, Max-Eyth-Str., 74214 Schöntal-Bieringen</v>
      </c>
      <c r="AG227" t="str">
        <f>_xlfn.TEXTBEFORE(_xlfn.TEXTAFTER(AF227, ", ", 2), ",")</f>
        <v>Max-Eyth-Str.</v>
      </c>
      <c r="AH227" t="str">
        <f>_xlfn.TEXTBEFORE(_xlfn.TEXTAFTER(AF227, ", ", 3), " ")</f>
        <v>74214</v>
      </c>
      <c r="AI227" t="str">
        <f>_xlfn.TEXTAFTER(_xlfn.TEXTAFTER(AF227, ", ", 3), " ")</f>
        <v>Schöntal-Bieringen</v>
      </c>
    </row>
    <row r="228" spans="1:35" x14ac:dyDescent="0.2">
      <c r="A228" t="str">
        <f>B228&amp;C228&amp;H228&amp;N228</f>
        <v>35000886SV MulfingenC-Junioren1</v>
      </c>
      <c r="B228" t="s">
        <v>778</v>
      </c>
      <c r="C228" t="s">
        <v>779</v>
      </c>
      <c r="D228" t="s">
        <v>49</v>
      </c>
      <c r="E228" t="s">
        <v>35</v>
      </c>
      <c r="F228" t="s">
        <v>50</v>
      </c>
      <c r="G228">
        <v>3</v>
      </c>
      <c r="H228" t="s">
        <v>594</v>
      </c>
      <c r="I228" t="s">
        <v>114</v>
      </c>
      <c r="J228" t="s">
        <v>683</v>
      </c>
      <c r="K228" t="s">
        <v>756</v>
      </c>
      <c r="L228" t="s">
        <v>1367</v>
      </c>
      <c r="M228">
        <v>4</v>
      </c>
      <c r="N228">
        <v>1</v>
      </c>
      <c r="O228" t="s">
        <v>780</v>
      </c>
      <c r="P228" t="s">
        <v>40</v>
      </c>
      <c r="Q228" t="s">
        <v>53</v>
      </c>
      <c r="R228" t="s">
        <v>41</v>
      </c>
      <c r="U228" t="s">
        <v>118</v>
      </c>
      <c r="V228" t="s">
        <v>43</v>
      </c>
      <c r="W228" t="s">
        <v>43</v>
      </c>
      <c r="Y228" t="s">
        <v>43</v>
      </c>
      <c r="Z228" t="s">
        <v>45</v>
      </c>
      <c r="AA228" t="s">
        <v>781</v>
      </c>
      <c r="AB228" t="s">
        <v>43</v>
      </c>
      <c r="AC228" t="s">
        <v>43</v>
      </c>
      <c r="AD228" t="s">
        <v>43</v>
      </c>
      <c r="AE228" t="s">
        <v>43</v>
      </c>
      <c r="AF228" t="str">
        <f>AA228</f>
        <v>Kunstrasenplatz Mulfingen am Vereinsheim, Bachgasse 94, 74673 Mulfingen-Zentrum</v>
      </c>
      <c r="AG228" t="str">
        <f>TRIM(MID(AF228, FIND(", ", AF228)+2, FIND(", ", AF228, FIND(", ", AF228)+1) - FIND(", ", AF228) - 2))</f>
        <v>Bachgasse 94</v>
      </c>
      <c r="AH228" t="str">
        <f>_xlfn.TEXTBEFORE(_xlfn.TEXTAFTER(AF228, ", ", 2), " ")</f>
        <v>74673</v>
      </c>
      <c r="AI228" t="str">
        <f>_xlfn.TEXTAFTER(_xlfn.TEXTAFTER(AF228, ", ", 2), " ")</f>
        <v>Mulfingen-Zentrum</v>
      </c>
    </row>
    <row r="229" spans="1:35" x14ac:dyDescent="0.2">
      <c r="A229" t="str">
        <f>B229&amp;C229&amp;H229&amp;N229</f>
        <v>35000042VfR AltenmünsterC-Junioren1</v>
      </c>
      <c r="B229" t="s">
        <v>320</v>
      </c>
      <c r="C229" t="s">
        <v>321</v>
      </c>
      <c r="D229" t="s">
        <v>103</v>
      </c>
      <c r="E229" t="s">
        <v>35</v>
      </c>
      <c r="F229" t="s">
        <v>50</v>
      </c>
      <c r="G229">
        <v>12</v>
      </c>
      <c r="H229" t="s">
        <v>594</v>
      </c>
      <c r="I229" t="s">
        <v>114</v>
      </c>
      <c r="J229" t="s">
        <v>683</v>
      </c>
      <c r="K229" t="s">
        <v>756</v>
      </c>
      <c r="L229" t="s">
        <v>1367</v>
      </c>
      <c r="M229">
        <v>10</v>
      </c>
      <c r="N229">
        <v>1</v>
      </c>
      <c r="O229" t="s">
        <v>437</v>
      </c>
      <c r="P229" t="s">
        <v>40</v>
      </c>
      <c r="Q229" t="s">
        <v>40</v>
      </c>
      <c r="R229" t="s">
        <v>41</v>
      </c>
      <c r="U229" t="s">
        <v>118</v>
      </c>
      <c r="V229" t="s">
        <v>43</v>
      </c>
      <c r="W229" t="s">
        <v>43</v>
      </c>
      <c r="X229" t="s">
        <v>774</v>
      </c>
      <c r="Y229" s="4" t="s">
        <v>775</v>
      </c>
      <c r="Z229" t="s">
        <v>45</v>
      </c>
      <c r="AA229" t="s">
        <v>324</v>
      </c>
      <c r="AB229" t="s">
        <v>43</v>
      </c>
      <c r="AC229" t="s">
        <v>43</v>
      </c>
      <c r="AD229" t="s">
        <v>43</v>
      </c>
      <c r="AE229" t="s">
        <v>43</v>
      </c>
      <c r="AF229" t="str">
        <f>AA229</f>
        <v>Sportplatz 1 VfR Altenmünster, Kirchstr., 74564 Crailsheim</v>
      </c>
      <c r="AG229" t="str">
        <f>TRIM(MID(AF229, FIND(", ", AF229)+2, FIND(", ", AF229, FIND(", ", AF229)+1) - FIND(", ", AF229) - 2))</f>
        <v>Kirchstr.</v>
      </c>
      <c r="AH229" t="str">
        <f>_xlfn.TEXTBEFORE(_xlfn.TEXTAFTER(AF229, ", ", 2), " ")</f>
        <v>74564</v>
      </c>
      <c r="AI229" t="str">
        <f>_xlfn.TEXTAFTER(_xlfn.TEXTAFTER(AF229, ", ", 2), " ")</f>
        <v>Crailsheim</v>
      </c>
    </row>
    <row r="230" spans="1:35" x14ac:dyDescent="0.2">
      <c r="A230" t="str">
        <f>B230&amp;C230&amp;H230&amp;N230</f>
        <v>35000457TSV GerabronnC-Junioren1</v>
      </c>
      <c r="B230" t="s">
        <v>767</v>
      </c>
      <c r="C230" t="s">
        <v>768</v>
      </c>
      <c r="D230" t="s">
        <v>103</v>
      </c>
      <c r="E230" t="s">
        <v>35</v>
      </c>
      <c r="F230" t="s">
        <v>50</v>
      </c>
      <c r="G230">
        <v>12</v>
      </c>
      <c r="H230" t="s">
        <v>594</v>
      </c>
      <c r="I230" t="s">
        <v>114</v>
      </c>
      <c r="J230" t="s">
        <v>683</v>
      </c>
      <c r="K230" t="s">
        <v>756</v>
      </c>
      <c r="L230" t="s">
        <v>1367</v>
      </c>
      <c r="M230">
        <v>6</v>
      </c>
      <c r="N230">
        <v>1</v>
      </c>
      <c r="O230" t="s">
        <v>769</v>
      </c>
      <c r="P230" t="s">
        <v>40</v>
      </c>
      <c r="Q230" t="s">
        <v>40</v>
      </c>
      <c r="R230" t="s">
        <v>41</v>
      </c>
      <c r="U230" t="s">
        <v>118</v>
      </c>
      <c r="V230" t="s">
        <v>43</v>
      </c>
      <c r="W230" t="s">
        <v>43</v>
      </c>
      <c r="Y230" t="s">
        <v>43</v>
      </c>
      <c r="Z230" t="s">
        <v>45</v>
      </c>
      <c r="AA230" t="s">
        <v>770</v>
      </c>
      <c r="AB230" t="s">
        <v>771</v>
      </c>
      <c r="AC230" t="s">
        <v>175</v>
      </c>
      <c r="AD230" t="s">
        <v>772</v>
      </c>
      <c r="AE230" t="s">
        <v>770</v>
      </c>
      <c r="AF230" t="s">
        <v>770</v>
      </c>
      <c r="AG230" t="str">
        <f>TRIM(MID(AF230, FIND(", ", AF230)+2, FIND(", ", AF230, FIND(", ", AF230)+1) - FIND(", ", AF230) - 2))</f>
        <v>Grabenstr.</v>
      </c>
      <c r="AH230" t="str">
        <f>_xlfn.TEXTBEFORE(_xlfn.TEXTAFTER(AF230, ", ", 2), " ")</f>
        <v>74582</v>
      </c>
      <c r="AI230" t="str">
        <f>_xlfn.TEXTAFTER(_xlfn.TEXTAFTER(AF230, ", ", 2), " ")</f>
        <v>Gerabronn</v>
      </c>
    </row>
    <row r="231" spans="1:35" x14ac:dyDescent="0.2">
      <c r="A231" t="str">
        <f>B231&amp;C231&amp;H231&amp;N231</f>
        <v>35000674SV IngersheimC-Junioren1</v>
      </c>
      <c r="B231" t="s">
        <v>513</v>
      </c>
      <c r="C231" t="s">
        <v>514</v>
      </c>
      <c r="D231" t="s">
        <v>103</v>
      </c>
      <c r="E231" t="s">
        <v>35</v>
      </c>
      <c r="F231" t="s">
        <v>50</v>
      </c>
      <c r="G231">
        <v>12</v>
      </c>
      <c r="H231" t="s">
        <v>594</v>
      </c>
      <c r="I231" t="s">
        <v>114</v>
      </c>
      <c r="J231" t="s">
        <v>683</v>
      </c>
      <c r="K231" t="s">
        <v>756</v>
      </c>
      <c r="L231" t="s">
        <v>1367</v>
      </c>
      <c r="M231">
        <v>2</v>
      </c>
      <c r="N231">
        <v>1</v>
      </c>
      <c r="O231" t="s">
        <v>515</v>
      </c>
      <c r="P231" t="s">
        <v>40</v>
      </c>
      <c r="Q231" t="s">
        <v>40</v>
      </c>
      <c r="R231" t="s">
        <v>41</v>
      </c>
      <c r="U231" t="s">
        <v>118</v>
      </c>
      <c r="V231" t="s">
        <v>43</v>
      </c>
      <c r="W231" t="s">
        <v>43</v>
      </c>
      <c r="Y231" t="s">
        <v>43</v>
      </c>
      <c r="Z231" t="s">
        <v>45</v>
      </c>
      <c r="AA231" t="s">
        <v>516</v>
      </c>
      <c r="AB231" t="s">
        <v>196</v>
      </c>
      <c r="AC231" t="s">
        <v>517</v>
      </c>
      <c r="AD231" t="s">
        <v>43</v>
      </c>
      <c r="AE231" t="s">
        <v>43</v>
      </c>
      <c r="AF231" t="str">
        <f>AC231</f>
        <v>Sportplatz 1, SV Ingersheim, Oberes Lehen 4, 74564 Crailsheim</v>
      </c>
      <c r="AG231" t="str">
        <f>_xlfn.TEXTBEFORE(_xlfn.TEXTAFTER(AF231, ", ", 2), ",")</f>
        <v>Oberes Lehen 4</v>
      </c>
      <c r="AH231" t="str">
        <f>_xlfn.TEXTBEFORE(_xlfn.TEXTAFTER(AF231, ", ", 3), " ")</f>
        <v>74564</v>
      </c>
      <c r="AI231" t="str">
        <f>_xlfn.TEXTAFTER(_xlfn.TEXTAFTER(AF231, ", ", 3), " ")</f>
        <v>Crailsheim</v>
      </c>
    </row>
    <row r="232" spans="1:35" x14ac:dyDescent="0.2">
      <c r="A232" t="str">
        <f>B232&amp;C232&amp;H232&amp;N232</f>
        <v>35001124TV Rot am SeeC-Junioren1</v>
      </c>
      <c r="B232" t="s">
        <v>762</v>
      </c>
      <c r="C232" t="s">
        <v>763</v>
      </c>
      <c r="D232" t="s">
        <v>103</v>
      </c>
      <c r="E232" t="s">
        <v>35</v>
      </c>
      <c r="F232" t="s">
        <v>50</v>
      </c>
      <c r="G232">
        <v>12</v>
      </c>
      <c r="H232" t="s">
        <v>594</v>
      </c>
      <c r="I232" t="s">
        <v>114</v>
      </c>
      <c r="J232" t="s">
        <v>683</v>
      </c>
      <c r="K232" t="s">
        <v>756</v>
      </c>
      <c r="L232" t="s">
        <v>1367</v>
      </c>
      <c r="M232">
        <v>7</v>
      </c>
      <c r="N232">
        <v>1</v>
      </c>
      <c r="O232" t="s">
        <v>764</v>
      </c>
      <c r="P232" t="s">
        <v>40</v>
      </c>
      <c r="Q232" t="s">
        <v>40</v>
      </c>
      <c r="R232" t="s">
        <v>41</v>
      </c>
      <c r="U232" t="s">
        <v>118</v>
      </c>
      <c r="V232" t="s">
        <v>43</v>
      </c>
      <c r="W232" t="s">
        <v>43</v>
      </c>
      <c r="Y232" t="s">
        <v>765</v>
      </c>
      <c r="Z232" t="s">
        <v>45</v>
      </c>
      <c r="AA232" t="s">
        <v>766</v>
      </c>
      <c r="AB232" t="s">
        <v>43</v>
      </c>
      <c r="AC232" t="s">
        <v>43</v>
      </c>
      <c r="AD232" t="s">
        <v>43</v>
      </c>
      <c r="AE232" t="s">
        <v>43</v>
      </c>
      <c r="AF232" t="str">
        <f>AA232</f>
        <v>Brettachstadion, Mittelgasse 24, 74599 Wallhausen-Hengstfeld</v>
      </c>
      <c r="AG232" t="str">
        <f>TRIM(MID(AF232, FIND(", ", AF232)+2, FIND(", ", AF232, FIND(", ", AF232)+1) - FIND(", ", AF232) - 2))</f>
        <v>Mittelgasse 24</v>
      </c>
      <c r="AH232" t="str">
        <f>_xlfn.TEXTBEFORE(_xlfn.TEXTAFTER(AF232, ", ", 2), " ")</f>
        <v>74599</v>
      </c>
      <c r="AI232" t="str">
        <f>_xlfn.TEXTAFTER(_xlfn.TEXTAFTER(AF232, ", ", 2), " ")</f>
        <v>Wallhausen-Hengstfeld</v>
      </c>
    </row>
    <row r="233" spans="1:35" x14ac:dyDescent="0.2">
      <c r="A233" t="str">
        <f>B233&amp;C233&amp;H233&amp;N233</f>
        <v>35000534SSV Schwäbisch HallC-Junioren1</v>
      </c>
      <c r="B233" t="s">
        <v>180</v>
      </c>
      <c r="C233" t="s">
        <v>181</v>
      </c>
      <c r="D233" t="s">
        <v>58</v>
      </c>
      <c r="E233" t="s">
        <v>35</v>
      </c>
      <c r="F233" t="s">
        <v>50</v>
      </c>
      <c r="G233">
        <v>12</v>
      </c>
      <c r="H233" t="s">
        <v>594</v>
      </c>
      <c r="I233" t="s">
        <v>114</v>
      </c>
      <c r="J233" t="s">
        <v>683</v>
      </c>
      <c r="K233" t="s">
        <v>756</v>
      </c>
      <c r="L233" t="s">
        <v>1367</v>
      </c>
      <c r="M233">
        <v>8</v>
      </c>
      <c r="N233">
        <v>1</v>
      </c>
      <c r="O233" t="s">
        <v>776</v>
      </c>
      <c r="P233" t="s">
        <v>40</v>
      </c>
      <c r="Q233" t="s">
        <v>40</v>
      </c>
      <c r="R233" t="s">
        <v>41</v>
      </c>
      <c r="U233" t="s">
        <v>118</v>
      </c>
      <c r="V233" t="s">
        <v>43</v>
      </c>
      <c r="W233" t="s">
        <v>43</v>
      </c>
      <c r="Y233" t="s">
        <v>43</v>
      </c>
      <c r="Z233" t="s">
        <v>45</v>
      </c>
      <c r="AA233" t="s">
        <v>777</v>
      </c>
      <c r="AB233" t="s">
        <v>43</v>
      </c>
      <c r="AC233" t="s">
        <v>43</v>
      </c>
      <c r="AD233" t="s">
        <v>43</v>
      </c>
      <c r="AE233" t="s">
        <v>43</v>
      </c>
      <c r="AF233" t="str">
        <f>AA233</f>
        <v>Sportplatz 2 SSV SHA, Breiteichstr. 49, 74523 Schwäbisch Hall</v>
      </c>
      <c r="AG233" t="str">
        <f>TRIM(MID(AF233, FIND(", ", AF233)+2, FIND(", ", AF233, FIND(", ", AF233)+1) - FIND(", ", AF233) - 2))</f>
        <v>Breiteichstr. 49</v>
      </c>
      <c r="AH233" t="str">
        <f>_xlfn.TEXTBEFORE(_xlfn.TEXTAFTER(AF233, ", ", 2), " ")</f>
        <v>74523</v>
      </c>
      <c r="AI233" t="str">
        <f>_xlfn.TEXTAFTER(_xlfn.TEXTAFTER(AF233, ", ", 2), " ")</f>
        <v>Schwäbisch Hall</v>
      </c>
    </row>
    <row r="234" spans="1:35" x14ac:dyDescent="0.2">
      <c r="A234" t="str">
        <f>B234&amp;C234&amp;H234&amp;N234</f>
        <v>35001250SC Steinbach-ComburgC-Junioren1</v>
      </c>
      <c r="B234" t="s">
        <v>165</v>
      </c>
      <c r="C234" t="s">
        <v>166</v>
      </c>
      <c r="D234" t="s">
        <v>58</v>
      </c>
      <c r="E234" t="s">
        <v>35</v>
      </c>
      <c r="F234" t="s">
        <v>50</v>
      </c>
      <c r="G234">
        <v>12</v>
      </c>
      <c r="H234" t="s">
        <v>594</v>
      </c>
      <c r="I234" t="s">
        <v>114</v>
      </c>
      <c r="J234" t="s">
        <v>683</v>
      </c>
      <c r="K234" t="s">
        <v>756</v>
      </c>
      <c r="L234" t="s">
        <v>1367</v>
      </c>
      <c r="M234">
        <v>3</v>
      </c>
      <c r="N234">
        <v>1</v>
      </c>
      <c r="O234" t="s">
        <v>167</v>
      </c>
      <c r="P234" t="s">
        <v>40</v>
      </c>
      <c r="Q234" t="s">
        <v>40</v>
      </c>
      <c r="R234" t="s">
        <v>41</v>
      </c>
      <c r="U234" t="s">
        <v>118</v>
      </c>
      <c r="V234" t="s">
        <v>43</v>
      </c>
      <c r="W234" t="s">
        <v>43</v>
      </c>
      <c r="Y234" t="s">
        <v>43</v>
      </c>
      <c r="Z234" t="s">
        <v>45</v>
      </c>
      <c r="AA234" t="s">
        <v>168</v>
      </c>
      <c r="AB234" t="s">
        <v>757</v>
      </c>
      <c r="AC234" t="s">
        <v>170</v>
      </c>
      <c r="AD234" t="s">
        <v>43</v>
      </c>
      <c r="AE234" t="s">
        <v>43</v>
      </c>
      <c r="AF234" t="str">
        <f>AC234</f>
        <v>Kunstrasenplatz am Hagenbachstadion, Hagenbacher Ring, 74523 Schwäbisch Hall</v>
      </c>
      <c r="AG234" t="str">
        <f>TRIM(MID(AF234, FIND(", ", AF234)+2, FIND(", ", AF234, FIND(", ", AF234)+1) - FIND(", ", AF234) - 2))</f>
        <v>Hagenbacher Ring</v>
      </c>
      <c r="AH234" t="str">
        <f>_xlfn.TEXTBEFORE(_xlfn.TEXTAFTER(AF234, ", ", 2), " ")</f>
        <v>74523</v>
      </c>
      <c r="AI234" t="str">
        <f>_xlfn.TEXTAFTER(_xlfn.TEXTAFTER(AF234, ", ", 2), " ")</f>
        <v>Schwäbisch Hall</v>
      </c>
    </row>
    <row r="235" spans="1:35" x14ac:dyDescent="0.2">
      <c r="A235" t="str">
        <f>B235&amp;C235&amp;H235&amp;N235</f>
        <v>35000946TV NiederstettenC-Junioren1</v>
      </c>
      <c r="B235" t="s">
        <v>329</v>
      </c>
      <c r="C235" t="s">
        <v>330</v>
      </c>
      <c r="D235" t="s">
        <v>204</v>
      </c>
      <c r="E235" t="s">
        <v>35</v>
      </c>
      <c r="F235" t="s">
        <v>50</v>
      </c>
      <c r="G235">
        <v>3</v>
      </c>
      <c r="H235" t="s">
        <v>594</v>
      </c>
      <c r="I235" t="s">
        <v>114</v>
      </c>
      <c r="J235" t="s">
        <v>683</v>
      </c>
      <c r="K235" t="s">
        <v>756</v>
      </c>
      <c r="L235" t="s">
        <v>1367</v>
      </c>
      <c r="M235">
        <v>1</v>
      </c>
      <c r="N235">
        <v>1</v>
      </c>
      <c r="O235" t="s">
        <v>330</v>
      </c>
      <c r="P235" t="s">
        <v>40</v>
      </c>
      <c r="Q235" t="s">
        <v>53</v>
      </c>
      <c r="R235" t="s">
        <v>41</v>
      </c>
      <c r="U235" t="s">
        <v>118</v>
      </c>
      <c r="V235" t="s">
        <v>43</v>
      </c>
      <c r="W235" t="s">
        <v>43</v>
      </c>
      <c r="Y235" t="s">
        <v>43</v>
      </c>
      <c r="Z235" t="s">
        <v>45</v>
      </c>
      <c r="AA235" t="s">
        <v>333</v>
      </c>
      <c r="AB235" t="s">
        <v>43</v>
      </c>
      <c r="AC235" t="s">
        <v>43</v>
      </c>
      <c r="AD235" t="s">
        <v>43</v>
      </c>
      <c r="AE235" t="s">
        <v>43</v>
      </c>
      <c r="AF235" t="str">
        <f>AA235</f>
        <v>Burgwiesenstadion, Kanalweg, 97996 Niederstetten-Zentrum</v>
      </c>
      <c r="AG235" t="str">
        <f>TRIM(MID(AF235, FIND(", ", AF235)+2, FIND(", ", AF235, FIND(", ", AF235)+1) - FIND(", ", AF235) - 2))</f>
        <v>Kanalweg</v>
      </c>
      <c r="AH235" t="str">
        <f>_xlfn.TEXTBEFORE(_xlfn.TEXTAFTER(AF235, ", ", 2), " ")</f>
        <v>97996</v>
      </c>
      <c r="AI235" t="str">
        <f>_xlfn.TEXTAFTER(_xlfn.TEXTAFTER(AF235, ", ", 2), " ")</f>
        <v>Niederstetten-Zentrum</v>
      </c>
    </row>
    <row r="236" spans="1:35" x14ac:dyDescent="0.2">
      <c r="A236" t="str">
        <f>B236&amp;C236&amp;H236&amp;N236</f>
        <v>35000170TSV BitzfeldC-Junioren2</v>
      </c>
      <c r="B236" t="s">
        <v>667</v>
      </c>
      <c r="C236" t="s">
        <v>668</v>
      </c>
      <c r="D236" t="s">
        <v>66</v>
      </c>
      <c r="E236" t="s">
        <v>35</v>
      </c>
      <c r="F236" t="s">
        <v>50</v>
      </c>
      <c r="G236">
        <v>3</v>
      </c>
      <c r="H236" t="s">
        <v>594</v>
      </c>
      <c r="I236" t="s">
        <v>114</v>
      </c>
      <c r="J236" t="s">
        <v>683</v>
      </c>
      <c r="K236" t="s">
        <v>783</v>
      </c>
      <c r="L236" t="s">
        <v>1364</v>
      </c>
      <c r="M236">
        <v>2</v>
      </c>
      <c r="N236">
        <v>2</v>
      </c>
      <c r="O236" t="s">
        <v>790</v>
      </c>
      <c r="P236" t="s">
        <v>40</v>
      </c>
      <c r="Q236" t="s">
        <v>53</v>
      </c>
      <c r="R236" t="s">
        <v>41</v>
      </c>
      <c r="U236" t="s">
        <v>226</v>
      </c>
      <c r="V236" t="s">
        <v>43</v>
      </c>
      <c r="W236" t="s">
        <v>43</v>
      </c>
      <c r="Y236" t="s">
        <v>43</v>
      </c>
      <c r="Z236" t="s">
        <v>45</v>
      </c>
      <c r="AA236" t="s">
        <v>299</v>
      </c>
      <c r="AB236" t="s">
        <v>43</v>
      </c>
      <c r="AC236" t="s">
        <v>43</v>
      </c>
      <c r="AD236" t="s">
        <v>43</v>
      </c>
      <c r="AE236" t="s">
        <v>43</v>
      </c>
      <c r="AF236" t="str">
        <f>AA236</f>
        <v>Sportplatz 1 Bitzfeld, Hasenweg, 74626 Bretzfeld-Bitzfeld</v>
      </c>
      <c r="AG236" t="str">
        <f>TRIM(MID(AF236, FIND(", ", AF236)+2, FIND(", ", AF236, FIND(", ", AF236)+1) - FIND(", ", AF236) - 2))</f>
        <v>Hasenweg</v>
      </c>
      <c r="AH236" t="str">
        <f>_xlfn.TEXTBEFORE(_xlfn.TEXTAFTER(AF236, ", ", 2), " ")</f>
        <v>74626</v>
      </c>
      <c r="AI236" t="str">
        <f>_xlfn.TEXTAFTER(_xlfn.TEXTAFTER(AF236, ", ", 2), " ")</f>
        <v>Bretzfeld-Bitzfeld</v>
      </c>
    </row>
    <row r="237" spans="1:35" x14ac:dyDescent="0.2">
      <c r="A237" t="str">
        <f>B237&amp;C237&amp;H237&amp;N237</f>
        <v>35000853SC Michelbach/WaldC-Junioren1</v>
      </c>
      <c r="B237" t="s">
        <v>160</v>
      </c>
      <c r="C237" t="s">
        <v>161</v>
      </c>
      <c r="D237" t="s">
        <v>66</v>
      </c>
      <c r="E237" t="s">
        <v>35</v>
      </c>
      <c r="F237" t="s">
        <v>50</v>
      </c>
      <c r="G237">
        <v>3</v>
      </c>
      <c r="H237" t="s">
        <v>594</v>
      </c>
      <c r="I237" t="s">
        <v>114</v>
      </c>
      <c r="J237" t="s">
        <v>683</v>
      </c>
      <c r="K237" t="s">
        <v>783</v>
      </c>
      <c r="L237" t="s">
        <v>1364</v>
      </c>
      <c r="M237">
        <v>7</v>
      </c>
      <c r="N237">
        <v>1</v>
      </c>
      <c r="O237" t="s">
        <v>161</v>
      </c>
      <c r="P237" t="s">
        <v>40</v>
      </c>
      <c r="Q237" t="s">
        <v>40</v>
      </c>
      <c r="R237" t="s">
        <v>41</v>
      </c>
      <c r="U237" t="s">
        <v>226</v>
      </c>
      <c r="V237" t="s">
        <v>43</v>
      </c>
      <c r="W237" t="s">
        <v>43</v>
      </c>
      <c r="Y237" t="s">
        <v>784</v>
      </c>
      <c r="Z237" t="s">
        <v>45</v>
      </c>
      <c r="AA237" t="s">
        <v>498</v>
      </c>
      <c r="AB237" t="s">
        <v>43</v>
      </c>
      <c r="AC237" t="s">
        <v>43</v>
      </c>
      <c r="AD237" t="s">
        <v>43</v>
      </c>
      <c r="AE237" t="s">
        <v>43</v>
      </c>
      <c r="AF237" t="str">
        <f>AA237</f>
        <v>Kunstrasenplatz SC Michelbach/Wald, Keltergasse, 74613 Öhringen-Michelbach</v>
      </c>
      <c r="AG237" t="str">
        <f>TRIM(MID(AF237, FIND(", ", AF237)+2, FIND(", ", AF237, FIND(", ", AF237)+1) - FIND(", ", AF237) - 2))</f>
        <v>Keltergasse</v>
      </c>
      <c r="AH237" t="str">
        <f>_xlfn.TEXTBEFORE(_xlfn.TEXTAFTER(AF237, ", ", 2), " ")</f>
        <v>74613</v>
      </c>
      <c r="AI237" t="str">
        <f>_xlfn.TEXTAFTER(_xlfn.TEXTAFTER(AF237, ", ", 2), " ")</f>
        <v>Öhringen-Michelbach</v>
      </c>
    </row>
    <row r="238" spans="1:35" x14ac:dyDescent="0.2">
      <c r="A238" t="str">
        <f>B238&amp;C238&amp;H238&amp;N238</f>
        <v>35001002TSG ÖhringenC-Junioren1</v>
      </c>
      <c r="B238" t="s">
        <v>64</v>
      </c>
      <c r="C238" t="s">
        <v>65</v>
      </c>
      <c r="D238" t="s">
        <v>66</v>
      </c>
      <c r="E238" t="s">
        <v>35</v>
      </c>
      <c r="F238" t="s">
        <v>50</v>
      </c>
      <c r="G238">
        <v>3</v>
      </c>
      <c r="H238" t="s">
        <v>594</v>
      </c>
      <c r="I238" t="s">
        <v>114</v>
      </c>
      <c r="J238" t="s">
        <v>683</v>
      </c>
      <c r="K238" t="s">
        <v>783</v>
      </c>
      <c r="L238" t="s">
        <v>1364</v>
      </c>
      <c r="M238">
        <v>3</v>
      </c>
      <c r="N238">
        <v>1</v>
      </c>
      <c r="O238" t="s">
        <v>65</v>
      </c>
      <c r="P238" t="s">
        <v>40</v>
      </c>
      <c r="Q238" t="s">
        <v>40</v>
      </c>
      <c r="R238" t="s">
        <v>41</v>
      </c>
      <c r="U238" t="s">
        <v>118</v>
      </c>
      <c r="V238" t="s">
        <v>43</v>
      </c>
      <c r="W238" t="s">
        <v>43</v>
      </c>
      <c r="Y238" t="s">
        <v>43</v>
      </c>
      <c r="Z238" t="s">
        <v>45</v>
      </c>
      <c r="AA238" t="s">
        <v>67</v>
      </c>
      <c r="AB238" t="s">
        <v>43</v>
      </c>
      <c r="AC238" t="s">
        <v>43</v>
      </c>
      <c r="AD238" t="s">
        <v>43</v>
      </c>
      <c r="AE238" t="s">
        <v>43</v>
      </c>
      <c r="AF238" t="str">
        <f>AA238</f>
        <v>Kunstrasenplatz TSG Öhringen, Pfaffenmühlweg 44, 74613 Öhringen-Zentrum</v>
      </c>
      <c r="AG238" t="str">
        <f>TRIM(MID(AF238, FIND(", ", AF238)+2, FIND(", ", AF238, FIND(", ", AF238)+1) - FIND(", ", AF238) - 2))</f>
        <v>Pfaffenmühlweg 44</v>
      </c>
      <c r="AH238" t="str">
        <f>_xlfn.TEXTBEFORE(_xlfn.TEXTAFTER(AF238, ", ", 2), " ")</f>
        <v>74613</v>
      </c>
      <c r="AI238" t="str">
        <f>_xlfn.TEXTAFTER(_xlfn.TEXTAFTER(AF238, ", ", 2), " ")</f>
        <v>Öhringen-Zentrum</v>
      </c>
    </row>
    <row r="239" spans="1:35" x14ac:dyDescent="0.2">
      <c r="A239" t="str">
        <f>B239&amp;C239&amp;H239&amp;N239</f>
        <v>35001044TSV PfedelbachC-Junioren2</v>
      </c>
      <c r="B239" t="s">
        <v>425</v>
      </c>
      <c r="C239" t="s">
        <v>426</v>
      </c>
      <c r="D239" t="s">
        <v>66</v>
      </c>
      <c r="E239" t="s">
        <v>35</v>
      </c>
      <c r="F239" t="s">
        <v>50</v>
      </c>
      <c r="G239">
        <v>3</v>
      </c>
      <c r="H239" t="s">
        <v>594</v>
      </c>
      <c r="I239" t="s">
        <v>114</v>
      </c>
      <c r="J239" t="s">
        <v>683</v>
      </c>
      <c r="K239" t="s">
        <v>783</v>
      </c>
      <c r="L239" t="s">
        <v>1364</v>
      </c>
      <c r="M239">
        <v>9</v>
      </c>
      <c r="N239">
        <v>2</v>
      </c>
      <c r="O239" t="s">
        <v>553</v>
      </c>
      <c r="P239" t="s">
        <v>40</v>
      </c>
      <c r="Q239" t="s">
        <v>53</v>
      </c>
      <c r="R239" t="s">
        <v>41</v>
      </c>
      <c r="U239" t="s">
        <v>226</v>
      </c>
      <c r="V239" t="s">
        <v>43</v>
      </c>
      <c r="W239" t="s">
        <v>43</v>
      </c>
      <c r="Y239" t="s">
        <v>791</v>
      </c>
      <c r="Z239" t="s">
        <v>45</v>
      </c>
      <c r="AA239" t="s">
        <v>792</v>
      </c>
      <c r="AB239" t="s">
        <v>43</v>
      </c>
      <c r="AC239" t="s">
        <v>43</v>
      </c>
      <c r="AD239" t="s">
        <v>43</v>
      </c>
      <c r="AE239" t="s">
        <v>43</v>
      </c>
      <c r="AF239" t="str">
        <f>AA239</f>
        <v>Sportplatz 1 Untersteinbach, Freibadweg, 74629 Pfedelbach-Untersteinbach</v>
      </c>
      <c r="AG239" t="str">
        <f>TRIM(MID(AF239, FIND(", ", AF239)+2, FIND(", ", AF239, FIND(", ", AF239)+1) - FIND(", ", AF239) - 2))</f>
        <v>Freibadweg</v>
      </c>
      <c r="AH239" t="str">
        <f>_xlfn.TEXTBEFORE(_xlfn.TEXTAFTER(AF239, ", ", 2), " ")</f>
        <v>74629</v>
      </c>
      <c r="AI239" t="str">
        <f>_xlfn.TEXTAFTER(_xlfn.TEXTAFTER(AF239, ", ", 2), " ")</f>
        <v>Pfedelbach-Untersteinbach</v>
      </c>
    </row>
    <row r="240" spans="1:35" x14ac:dyDescent="0.2">
      <c r="A240" t="str">
        <f>B240&amp;C240&amp;H240&amp;N240</f>
        <v>35001454TSG WaldenburgC-Junioren2</v>
      </c>
      <c r="B240" t="s">
        <v>661</v>
      </c>
      <c r="C240" t="s">
        <v>662</v>
      </c>
      <c r="D240" t="s">
        <v>66</v>
      </c>
      <c r="E240" t="s">
        <v>35</v>
      </c>
      <c r="F240" t="s">
        <v>50</v>
      </c>
      <c r="G240">
        <v>3</v>
      </c>
      <c r="H240" t="s">
        <v>594</v>
      </c>
      <c r="I240" t="s">
        <v>114</v>
      </c>
      <c r="J240" t="s">
        <v>683</v>
      </c>
      <c r="K240" t="s">
        <v>783</v>
      </c>
      <c r="L240" t="s">
        <v>1364</v>
      </c>
      <c r="M240">
        <v>4</v>
      </c>
      <c r="N240">
        <v>2</v>
      </c>
      <c r="O240" t="s">
        <v>787</v>
      </c>
      <c r="P240" t="s">
        <v>40</v>
      </c>
      <c r="Q240" t="s">
        <v>40</v>
      </c>
      <c r="R240" t="s">
        <v>41</v>
      </c>
      <c r="U240" t="s">
        <v>226</v>
      </c>
      <c r="V240" t="s">
        <v>43</v>
      </c>
      <c r="W240" t="s">
        <v>43</v>
      </c>
      <c r="X240" t="s">
        <v>788</v>
      </c>
      <c r="Y240" s="4" t="s">
        <v>789</v>
      </c>
      <c r="Z240" t="s">
        <v>45</v>
      </c>
      <c r="AA240" t="s">
        <v>666</v>
      </c>
      <c r="AB240" t="s">
        <v>43</v>
      </c>
      <c r="AC240" t="s">
        <v>43</v>
      </c>
      <c r="AD240" t="s">
        <v>43</v>
      </c>
      <c r="AE240" t="s">
        <v>43</v>
      </c>
      <c r="AF240" t="str">
        <f>AA240</f>
        <v>Sportplatz 1 TSG Waldenburg, Siercker Str. 9, 74638 Waldenburg</v>
      </c>
      <c r="AG240" t="str">
        <f>TRIM(MID(AF240, FIND(", ", AF240)+2, FIND(", ", AF240, FIND(", ", AF240)+1) - FIND(", ", AF240) - 2))</f>
        <v>Siercker Str. 9</v>
      </c>
      <c r="AH240" t="str">
        <f>_xlfn.TEXTBEFORE(_xlfn.TEXTAFTER(AF240, ", ", 2), " ")</f>
        <v>74638</v>
      </c>
      <c r="AI240" t="str">
        <f>_xlfn.TEXTAFTER(_xlfn.TEXTAFTER(AF240, ", ", 2), " ")</f>
        <v>Waldenburg</v>
      </c>
    </row>
    <row r="241" spans="1:35" x14ac:dyDescent="0.2">
      <c r="A241" t="str">
        <f>B241&amp;C241&amp;H241&amp;N241</f>
        <v>35001560TSV ZweiflingenC-Junioren1</v>
      </c>
      <c r="B241" t="s">
        <v>794</v>
      </c>
      <c r="C241" t="s">
        <v>795</v>
      </c>
      <c r="D241" t="s">
        <v>66</v>
      </c>
      <c r="E241" t="s">
        <v>35</v>
      </c>
      <c r="F241" t="s">
        <v>50</v>
      </c>
      <c r="G241">
        <v>3</v>
      </c>
      <c r="H241" t="s">
        <v>594</v>
      </c>
      <c r="I241" t="s">
        <v>114</v>
      </c>
      <c r="J241" t="s">
        <v>683</v>
      </c>
      <c r="K241" t="s">
        <v>783</v>
      </c>
      <c r="L241" t="s">
        <v>1364</v>
      </c>
      <c r="M241">
        <v>8</v>
      </c>
      <c r="N241">
        <v>1</v>
      </c>
      <c r="O241" t="s">
        <v>796</v>
      </c>
      <c r="P241" t="s">
        <v>40</v>
      </c>
      <c r="Q241" t="s">
        <v>53</v>
      </c>
      <c r="R241" t="s">
        <v>41</v>
      </c>
      <c r="U241" t="s">
        <v>118</v>
      </c>
      <c r="V241" t="s">
        <v>43</v>
      </c>
      <c r="W241" t="s">
        <v>43</v>
      </c>
      <c r="Y241" t="s">
        <v>43</v>
      </c>
      <c r="Z241" t="s">
        <v>45</v>
      </c>
      <c r="AA241" t="s">
        <v>797</v>
      </c>
      <c r="AB241" t="s">
        <v>43</v>
      </c>
      <c r="AC241" t="s">
        <v>43</v>
      </c>
      <c r="AD241" t="s">
        <v>43</v>
      </c>
      <c r="AE241" t="s">
        <v>43</v>
      </c>
      <c r="AF241" t="str">
        <f>AA241</f>
        <v>Sportplatz 1 TSV Zweiflingen, Bei der Sporthalle, 74639 Zweiflingen</v>
      </c>
      <c r="AG241" t="str">
        <f>TRIM(MID(AF241, FIND(", ", AF241)+2, FIND(", ", AF241, FIND(", ", AF241)+1) - FIND(", ", AF241) - 2))</f>
        <v>Bei der Sporthalle</v>
      </c>
      <c r="AH241" t="str">
        <f>_xlfn.TEXTBEFORE(_xlfn.TEXTAFTER(AF241, ", ", 2), " ")</f>
        <v>74639</v>
      </c>
      <c r="AI241" t="str">
        <f>_xlfn.TEXTAFTER(_xlfn.TEXTAFTER(AF241, ", ", 2), " ")</f>
        <v>Zweiflingen</v>
      </c>
    </row>
    <row r="242" spans="1:35" x14ac:dyDescent="0.2">
      <c r="A242" t="str">
        <f>B242&amp;C242&amp;H242&amp;N242</f>
        <v>35000443SSV GaisbachC-Junioren2</v>
      </c>
      <c r="B242" t="s">
        <v>617</v>
      </c>
      <c r="C242" t="s">
        <v>618</v>
      </c>
      <c r="D242" t="s">
        <v>49</v>
      </c>
      <c r="E242" t="s">
        <v>35</v>
      </c>
      <c r="F242" t="s">
        <v>50</v>
      </c>
      <c r="G242">
        <v>3</v>
      </c>
      <c r="H242" t="s">
        <v>594</v>
      </c>
      <c r="I242" t="s">
        <v>114</v>
      </c>
      <c r="J242" t="s">
        <v>683</v>
      </c>
      <c r="K242" t="s">
        <v>783</v>
      </c>
      <c r="L242" t="s">
        <v>1364</v>
      </c>
      <c r="M242">
        <v>6</v>
      </c>
      <c r="N242">
        <v>2</v>
      </c>
      <c r="O242" t="s">
        <v>786</v>
      </c>
      <c r="P242" t="s">
        <v>40</v>
      </c>
      <c r="Q242" t="s">
        <v>53</v>
      </c>
      <c r="R242" t="s">
        <v>41</v>
      </c>
      <c r="U242" t="s">
        <v>226</v>
      </c>
      <c r="V242" t="s">
        <v>43</v>
      </c>
      <c r="W242" t="s">
        <v>43</v>
      </c>
      <c r="Y242" t="s">
        <v>43</v>
      </c>
      <c r="Z242" t="s">
        <v>45</v>
      </c>
      <c r="AA242" t="s">
        <v>195</v>
      </c>
      <c r="AB242" t="s">
        <v>43</v>
      </c>
      <c r="AC242" t="s">
        <v>43</v>
      </c>
      <c r="AD242" t="s">
        <v>43</v>
      </c>
      <c r="AE242" t="s">
        <v>43</v>
      </c>
      <c r="AF242" t="str">
        <f>AA242</f>
        <v>Sportplatz 2 TSV Kupferzell, Neue Str. 29, 74635 Kupferzell-Zentrum</v>
      </c>
      <c r="AG242" t="str">
        <f>TRIM(MID(AF242, FIND(", ", AF242)+2, FIND(", ", AF242, FIND(", ", AF242)+1) - FIND(", ", AF242) - 2))</f>
        <v>Neue Str. 29</v>
      </c>
      <c r="AH242" t="str">
        <f>_xlfn.TEXTBEFORE(_xlfn.TEXTAFTER(AF242, ", ", 2), " ")</f>
        <v>74635</v>
      </c>
      <c r="AI242" t="str">
        <f>_xlfn.TEXTAFTER(_xlfn.TEXTAFTER(AF242, ", ", 2), " ")</f>
        <v>Kupferzell-Zentrum</v>
      </c>
    </row>
    <row r="243" spans="1:35" x14ac:dyDescent="0.2">
      <c r="A243" t="str">
        <f>B243&amp;C243&amp;H243&amp;N243</f>
        <v>35001492TSV WeißbachC-Junioren2</v>
      </c>
      <c r="B243" t="s">
        <v>676</v>
      </c>
      <c r="C243" t="s">
        <v>677</v>
      </c>
      <c r="D243" t="s">
        <v>49</v>
      </c>
      <c r="E243" t="s">
        <v>35</v>
      </c>
      <c r="F243" t="s">
        <v>50</v>
      </c>
      <c r="G243">
        <v>3</v>
      </c>
      <c r="H243" t="s">
        <v>594</v>
      </c>
      <c r="I243" t="s">
        <v>114</v>
      </c>
      <c r="J243" t="s">
        <v>683</v>
      </c>
      <c r="K243" t="s">
        <v>783</v>
      </c>
      <c r="L243" t="s">
        <v>1364</v>
      </c>
      <c r="M243">
        <v>5</v>
      </c>
      <c r="N243">
        <v>2</v>
      </c>
      <c r="O243" t="s">
        <v>793</v>
      </c>
      <c r="P243" t="s">
        <v>40</v>
      </c>
      <c r="Q243" t="s">
        <v>53</v>
      </c>
      <c r="R243" t="s">
        <v>41</v>
      </c>
      <c r="U243" t="s">
        <v>226</v>
      </c>
      <c r="V243" t="s">
        <v>43</v>
      </c>
      <c r="W243" t="s">
        <v>43</v>
      </c>
      <c r="Y243" t="s">
        <v>43</v>
      </c>
      <c r="Z243" t="s">
        <v>45</v>
      </c>
      <c r="AA243" t="s">
        <v>535</v>
      </c>
      <c r="AB243" t="s">
        <v>43</v>
      </c>
      <c r="AC243" t="s">
        <v>43</v>
      </c>
      <c r="AD243" t="s">
        <v>43</v>
      </c>
      <c r="AE243" t="s">
        <v>43</v>
      </c>
      <c r="AF243" t="str">
        <f>AA243</f>
        <v>Sportplatz Weissbach, Lindenstr., 74679 Weißbach-Zentrum</v>
      </c>
      <c r="AG243" t="str">
        <f>TRIM(MID(AF243, FIND(", ", AF243)+2, FIND(", ", AF243, FIND(", ", AF243)+1) - FIND(", ", AF243) - 2))</f>
        <v>Lindenstr.</v>
      </c>
      <c r="AH243" t="str">
        <f>_xlfn.TEXTBEFORE(_xlfn.TEXTAFTER(AF243, ", ", 2), " ")</f>
        <v>74679</v>
      </c>
      <c r="AI243" t="str">
        <f>_xlfn.TEXTAFTER(_xlfn.TEXTAFTER(AF243, ", ", 2), " ")</f>
        <v>Weißbach-Zentrum</v>
      </c>
    </row>
    <row r="244" spans="1:35" x14ac:dyDescent="0.2">
      <c r="A244" t="str">
        <f>B244&amp;C244&amp;H244&amp;N244</f>
        <v>35002159FV KünzelsauC-Junioren1</v>
      </c>
      <c r="B244" t="s">
        <v>537</v>
      </c>
      <c r="C244" t="s">
        <v>538</v>
      </c>
      <c r="D244" t="s">
        <v>49</v>
      </c>
      <c r="E244" t="s">
        <v>35</v>
      </c>
      <c r="F244" t="s">
        <v>50</v>
      </c>
      <c r="G244">
        <v>3</v>
      </c>
      <c r="H244" t="s">
        <v>594</v>
      </c>
      <c r="I244" t="s">
        <v>114</v>
      </c>
      <c r="J244" t="s">
        <v>683</v>
      </c>
      <c r="K244" t="s">
        <v>783</v>
      </c>
      <c r="L244" t="s">
        <v>1364</v>
      </c>
      <c r="M244">
        <v>10</v>
      </c>
      <c r="N244">
        <v>1</v>
      </c>
      <c r="O244" t="s">
        <v>785</v>
      </c>
      <c r="P244" t="s">
        <v>40</v>
      </c>
      <c r="Q244" t="s">
        <v>53</v>
      </c>
      <c r="R244" t="s">
        <v>41</v>
      </c>
      <c r="U244" t="s">
        <v>118</v>
      </c>
      <c r="V244" t="s">
        <v>43</v>
      </c>
      <c r="W244" t="s">
        <v>43</v>
      </c>
      <c r="Y244" t="s">
        <v>43</v>
      </c>
      <c r="Z244" t="s">
        <v>45</v>
      </c>
      <c r="AA244" t="s">
        <v>541</v>
      </c>
      <c r="AB244" t="s">
        <v>43</v>
      </c>
      <c r="AC244" t="s">
        <v>43</v>
      </c>
      <c r="AD244" t="s">
        <v>43</v>
      </c>
      <c r="AE244" t="s">
        <v>43</v>
      </c>
      <c r="AF244" t="str">
        <f>AA244</f>
        <v>Kunstrasenplatz FV Künzelsau, Hallstattweg 36, 74653 Künzelsau-Zentrum</v>
      </c>
      <c r="AG244" t="str">
        <f>TRIM(MID(AF244, FIND(", ", AF244)+2, FIND(", ", AF244, FIND(", ", AF244)+1) - FIND(", ", AF244) - 2))</f>
        <v>Hallstattweg 36</v>
      </c>
      <c r="AH244" t="str">
        <f>_xlfn.TEXTBEFORE(_xlfn.TEXTAFTER(AF244, ", ", 2), " ")</f>
        <v>74653</v>
      </c>
      <c r="AI244" t="str">
        <f>_xlfn.TEXTAFTER(_xlfn.TEXTAFTER(AF244, ", ", 2), " ")</f>
        <v>Künzelsau-Zentrum</v>
      </c>
    </row>
    <row r="245" spans="1:35" x14ac:dyDescent="0.2">
      <c r="A245" t="str">
        <f>B245&amp;C245&amp;H245&amp;N245</f>
        <v>35000148SC BibersfeldC-Junioren2</v>
      </c>
      <c r="B245" t="s">
        <v>613</v>
      </c>
      <c r="C245" t="s">
        <v>614</v>
      </c>
      <c r="D245" t="s">
        <v>58</v>
      </c>
      <c r="E245" t="s">
        <v>35</v>
      </c>
      <c r="F245" t="s">
        <v>50</v>
      </c>
      <c r="G245">
        <v>12</v>
      </c>
      <c r="H245" t="s">
        <v>594</v>
      </c>
      <c r="I245" t="s">
        <v>114</v>
      </c>
      <c r="J245" t="s">
        <v>683</v>
      </c>
      <c r="K245" t="s">
        <v>798</v>
      </c>
      <c r="L245" t="s">
        <v>1368</v>
      </c>
      <c r="M245">
        <v>6</v>
      </c>
      <c r="N245">
        <v>2</v>
      </c>
      <c r="O245" t="s">
        <v>808</v>
      </c>
      <c r="P245" t="s">
        <v>40</v>
      </c>
      <c r="Q245" t="s">
        <v>53</v>
      </c>
      <c r="R245" t="s">
        <v>41</v>
      </c>
      <c r="U245" s="2" t="s">
        <v>226</v>
      </c>
      <c r="V245" t="s">
        <v>43</v>
      </c>
      <c r="W245" t="s">
        <v>43</v>
      </c>
      <c r="Y245" t="s">
        <v>43</v>
      </c>
      <c r="Z245" t="s">
        <v>45</v>
      </c>
      <c r="AA245" t="s">
        <v>616</v>
      </c>
      <c r="AB245" t="s">
        <v>43</v>
      </c>
      <c r="AC245" t="s">
        <v>43</v>
      </c>
      <c r="AD245" t="s">
        <v>43</v>
      </c>
      <c r="AE245" t="s">
        <v>43</v>
      </c>
      <c r="AF245" t="str">
        <f>AA245</f>
        <v>Sportplatz 1 Bibersfeld, Luckenbacher Str. 42, 74523 Schwäbisch Hall-Bibersfeld</v>
      </c>
      <c r="AG245" t="str">
        <f>TRIM(MID(AF245, FIND(", ", AF245)+2, FIND(", ", AF245, FIND(", ", AF245)+1) - FIND(", ", AF245) - 2))</f>
        <v>Luckenbacher Str. 42</v>
      </c>
      <c r="AH245" t="str">
        <f>_xlfn.TEXTBEFORE(_xlfn.TEXTAFTER(AF245, ", ", 2), " ")</f>
        <v>74523</v>
      </c>
      <c r="AI245" t="str">
        <f>_xlfn.TEXTAFTER(_xlfn.TEXTAFTER(AF245, ", ", 2), " ")</f>
        <v>Schwäbisch Hall-Bibersfeld</v>
      </c>
    </row>
    <row r="246" spans="1:35" x14ac:dyDescent="0.2">
      <c r="A246" t="str">
        <f>B246&amp;C246&amp;H246&amp;N246</f>
        <v>35000223SC BühlertannC-Junioren2</v>
      </c>
      <c r="B246" t="s">
        <v>600</v>
      </c>
      <c r="C246" t="s">
        <v>601</v>
      </c>
      <c r="D246" t="s">
        <v>58</v>
      </c>
      <c r="E246" t="s">
        <v>35</v>
      </c>
      <c r="F246" t="s">
        <v>50</v>
      </c>
      <c r="G246">
        <v>12</v>
      </c>
      <c r="H246" t="s">
        <v>594</v>
      </c>
      <c r="I246" t="s">
        <v>114</v>
      </c>
      <c r="J246" t="s">
        <v>683</v>
      </c>
      <c r="K246" t="s">
        <v>798</v>
      </c>
      <c r="L246" t="s">
        <v>1368</v>
      </c>
      <c r="M246">
        <v>4</v>
      </c>
      <c r="N246">
        <v>2</v>
      </c>
      <c r="O246" t="s">
        <v>799</v>
      </c>
      <c r="P246" t="s">
        <v>40</v>
      </c>
      <c r="Q246" t="s">
        <v>40</v>
      </c>
      <c r="R246" t="s">
        <v>41</v>
      </c>
      <c r="U246" t="s">
        <v>226</v>
      </c>
      <c r="V246" t="s">
        <v>43</v>
      </c>
      <c r="W246" t="s">
        <v>43</v>
      </c>
      <c r="X246" t="s">
        <v>800</v>
      </c>
      <c r="Y246" t="s">
        <v>801</v>
      </c>
      <c r="Z246" t="s">
        <v>45</v>
      </c>
      <c r="AA246" t="s">
        <v>605</v>
      </c>
      <c r="AB246" t="s">
        <v>43</v>
      </c>
      <c r="AC246" t="s">
        <v>43</v>
      </c>
      <c r="AD246" t="s">
        <v>43</v>
      </c>
      <c r="AE246" t="s">
        <v>43</v>
      </c>
      <c r="AF246" t="str">
        <f>AA246</f>
        <v>Weinbergstadion Bühlertann, Weinbergstr. 10, 74424 Bühlertann</v>
      </c>
      <c r="AG246" t="str">
        <f>TRIM(MID(AF246, FIND(", ", AF246)+2, FIND(", ", AF246, FIND(", ", AF246)+1) - FIND(", ", AF246) - 2))</f>
        <v>Weinbergstr. 10</v>
      </c>
      <c r="AH246" t="str">
        <f>_xlfn.TEXTBEFORE(_xlfn.TEXTAFTER(AF246, ", ", 2), " ")</f>
        <v>74424</v>
      </c>
      <c r="AI246" t="str">
        <f>_xlfn.TEXTAFTER(_xlfn.TEXTAFTER(AF246, ", ", 2), " ")</f>
        <v>Bühlertann</v>
      </c>
    </row>
    <row r="247" spans="1:35" x14ac:dyDescent="0.2">
      <c r="A247" t="str">
        <f>B247&amp;C247&amp;H247&amp;N247</f>
        <v>35000392TSV EutendorfC-Junioren1</v>
      </c>
      <c r="B247" t="s">
        <v>282</v>
      </c>
      <c r="C247" t="s">
        <v>283</v>
      </c>
      <c r="D247" t="s">
        <v>58</v>
      </c>
      <c r="E247" t="s">
        <v>35</v>
      </c>
      <c r="F247" t="s">
        <v>50</v>
      </c>
      <c r="G247">
        <v>12</v>
      </c>
      <c r="H247" t="s">
        <v>594</v>
      </c>
      <c r="I247" t="s">
        <v>114</v>
      </c>
      <c r="J247" t="s">
        <v>683</v>
      </c>
      <c r="K247" t="s">
        <v>798</v>
      </c>
      <c r="L247" t="s">
        <v>1368</v>
      </c>
      <c r="M247">
        <v>8</v>
      </c>
      <c r="N247">
        <v>1</v>
      </c>
      <c r="O247" t="s">
        <v>284</v>
      </c>
      <c r="P247" t="s">
        <v>40</v>
      </c>
      <c r="Q247" t="s">
        <v>40</v>
      </c>
      <c r="R247" t="s">
        <v>41</v>
      </c>
      <c r="U247" t="s">
        <v>118</v>
      </c>
      <c r="V247" t="s">
        <v>43</v>
      </c>
      <c r="W247" t="s">
        <v>43</v>
      </c>
      <c r="Y247" t="s">
        <v>43</v>
      </c>
      <c r="Z247" t="s">
        <v>45</v>
      </c>
      <c r="AA247" t="s">
        <v>285</v>
      </c>
      <c r="AB247" t="s">
        <v>43</v>
      </c>
      <c r="AC247" t="s">
        <v>43</v>
      </c>
      <c r="AD247" t="s">
        <v>43</v>
      </c>
      <c r="AE247" t="s">
        <v>43</v>
      </c>
      <c r="AF247" t="str">
        <f>AA247</f>
        <v>Sportplatz 1, TSV Eutendorf, Altdorfer Str. 55, 74405 Gaildorf-Eutendorf</v>
      </c>
      <c r="AG247" t="str">
        <f>_xlfn.TEXTBEFORE(_xlfn.TEXTAFTER(AF247, ", ", 2), ",")</f>
        <v>Altdorfer Str. 55</v>
      </c>
      <c r="AH247" t="str">
        <f>_xlfn.TEXTBEFORE(_xlfn.TEXTAFTER(AF247, ", ", 3), " ")</f>
        <v>74405</v>
      </c>
      <c r="AI247" t="str">
        <f>_xlfn.TEXTAFTER(_xlfn.TEXTAFTER(AF247, ", ", 3), " ")</f>
        <v>Gaildorf-Eutendorf</v>
      </c>
    </row>
    <row r="248" spans="1:35" x14ac:dyDescent="0.2">
      <c r="A248" t="str">
        <f>B248&amp;C248&amp;H248&amp;N248</f>
        <v>35000441TSV GaildorfC-Junioren1</v>
      </c>
      <c r="B248" t="s">
        <v>306</v>
      </c>
      <c r="C248" t="s">
        <v>307</v>
      </c>
      <c r="D248" t="s">
        <v>58</v>
      </c>
      <c r="E248" t="s">
        <v>35</v>
      </c>
      <c r="F248" t="s">
        <v>50</v>
      </c>
      <c r="G248">
        <v>12</v>
      </c>
      <c r="H248" t="s">
        <v>594</v>
      </c>
      <c r="I248" t="s">
        <v>114</v>
      </c>
      <c r="J248" t="s">
        <v>683</v>
      </c>
      <c r="K248" t="s">
        <v>798</v>
      </c>
      <c r="L248" t="s">
        <v>1368</v>
      </c>
      <c r="M248">
        <v>10</v>
      </c>
      <c r="N248">
        <v>1</v>
      </c>
      <c r="O248" t="s">
        <v>307</v>
      </c>
      <c r="P248" t="s">
        <v>40</v>
      </c>
      <c r="Q248" t="s">
        <v>40</v>
      </c>
      <c r="R248" t="s">
        <v>41</v>
      </c>
      <c r="U248" t="s">
        <v>118</v>
      </c>
      <c r="V248" t="s">
        <v>43</v>
      </c>
      <c r="W248" t="s">
        <v>43</v>
      </c>
      <c r="Y248" t="s">
        <v>813</v>
      </c>
      <c r="Z248" t="s">
        <v>45</v>
      </c>
      <c r="AA248" t="s">
        <v>310</v>
      </c>
      <c r="AB248" t="s">
        <v>43</v>
      </c>
      <c r="AC248" t="s">
        <v>43</v>
      </c>
      <c r="AD248" t="s">
        <v>43</v>
      </c>
      <c r="AE248" t="s">
        <v>43</v>
      </c>
      <c r="AF248" t="str">
        <f>AA248</f>
        <v>Kunstrasenplatz Bleichwiese, Schloßstr. 11/1, 74405 Gaildorf</v>
      </c>
      <c r="AG248" t="str">
        <f>TRIM(MID(AF248, FIND(", ", AF248)+2, FIND(", ", AF248, FIND(", ", AF248)+1) - FIND(", ", AF248) - 2))</f>
        <v>Schloßstr. 11/1</v>
      </c>
      <c r="AH248" t="str">
        <f>_xlfn.TEXTBEFORE(_xlfn.TEXTAFTER(AF248, ", ", 2), " ")</f>
        <v>74405</v>
      </c>
      <c r="AI248" t="str">
        <f>_xlfn.TEXTAFTER(_xlfn.TEXTAFTER(AF248, ", ", 2), " ")</f>
        <v>Gaildorf</v>
      </c>
    </row>
    <row r="249" spans="1:35" x14ac:dyDescent="0.2">
      <c r="A249" t="str">
        <f>B249&amp;C249&amp;H249&amp;N249</f>
        <v>35000534SSV Schwäbisch HallC-Junioren2</v>
      </c>
      <c r="B249" t="s">
        <v>180</v>
      </c>
      <c r="C249" t="s">
        <v>181</v>
      </c>
      <c r="D249" t="s">
        <v>58</v>
      </c>
      <c r="E249" t="s">
        <v>35</v>
      </c>
      <c r="F249" t="s">
        <v>50</v>
      </c>
      <c r="G249">
        <v>12</v>
      </c>
      <c r="H249" t="s">
        <v>594</v>
      </c>
      <c r="I249" t="s">
        <v>114</v>
      </c>
      <c r="J249" t="s">
        <v>683</v>
      </c>
      <c r="K249" t="s">
        <v>798</v>
      </c>
      <c r="L249" t="s">
        <v>1368</v>
      </c>
      <c r="M249">
        <v>7</v>
      </c>
      <c r="N249">
        <v>2</v>
      </c>
      <c r="O249" t="s">
        <v>812</v>
      </c>
      <c r="P249" t="s">
        <v>40</v>
      </c>
      <c r="Q249" t="s">
        <v>40</v>
      </c>
      <c r="R249" t="s">
        <v>41</v>
      </c>
      <c r="U249" t="s">
        <v>226</v>
      </c>
      <c r="V249" t="s">
        <v>43</v>
      </c>
      <c r="W249" t="s">
        <v>43</v>
      </c>
      <c r="Y249" t="s">
        <v>43</v>
      </c>
      <c r="Z249" t="s">
        <v>45</v>
      </c>
      <c r="AA249" t="s">
        <v>777</v>
      </c>
      <c r="AB249" t="s">
        <v>43</v>
      </c>
      <c r="AC249" t="s">
        <v>43</v>
      </c>
      <c r="AD249" t="s">
        <v>43</v>
      </c>
      <c r="AE249" t="s">
        <v>43</v>
      </c>
      <c r="AF249" t="str">
        <f>AA249</f>
        <v>Sportplatz 2 SSV SHA, Breiteichstr. 49, 74523 Schwäbisch Hall</v>
      </c>
      <c r="AG249" t="str">
        <f>TRIM(MID(AF249, FIND(", ", AF249)+2, FIND(", ", AF249, FIND(", ", AF249)+1) - FIND(", ", AF249) - 2))</f>
        <v>Breiteichstr. 49</v>
      </c>
      <c r="AH249" t="str">
        <f>_xlfn.TEXTBEFORE(_xlfn.TEXTAFTER(AF249, ", ", 2), " ")</f>
        <v>74523</v>
      </c>
      <c r="AI249" t="str">
        <f>_xlfn.TEXTAFTER(_xlfn.TEXTAFTER(AF249, ", ", 2), " ")</f>
        <v>Schwäbisch Hall</v>
      </c>
    </row>
    <row r="250" spans="1:35" x14ac:dyDescent="0.2">
      <c r="A250" t="str">
        <f>B250&amp;C250&amp;H250&amp;N250</f>
        <v>35000854TSV Michelbach/BilzC-Junioren2</v>
      </c>
      <c r="B250" t="s">
        <v>670</v>
      </c>
      <c r="C250" t="s">
        <v>671</v>
      </c>
      <c r="D250" t="s">
        <v>58</v>
      </c>
      <c r="E250" t="s">
        <v>35</v>
      </c>
      <c r="F250" t="s">
        <v>50</v>
      </c>
      <c r="G250">
        <v>12</v>
      </c>
      <c r="H250" t="s">
        <v>594</v>
      </c>
      <c r="I250" t="s">
        <v>114</v>
      </c>
      <c r="J250" t="s">
        <v>683</v>
      </c>
      <c r="K250" t="s">
        <v>798</v>
      </c>
      <c r="L250" t="s">
        <v>1368</v>
      </c>
      <c r="M250">
        <v>9</v>
      </c>
      <c r="N250">
        <v>2</v>
      </c>
      <c r="O250" t="s">
        <v>809</v>
      </c>
      <c r="P250" t="s">
        <v>40</v>
      </c>
      <c r="Q250" t="s">
        <v>53</v>
      </c>
      <c r="R250" t="s">
        <v>41</v>
      </c>
      <c r="U250" t="s">
        <v>226</v>
      </c>
      <c r="V250" t="s">
        <v>43</v>
      </c>
      <c r="W250" t="s">
        <v>43</v>
      </c>
      <c r="X250" t="s">
        <v>673</v>
      </c>
      <c r="Y250" s="4" t="s">
        <v>810</v>
      </c>
      <c r="Z250" t="s">
        <v>45</v>
      </c>
      <c r="AA250" t="s">
        <v>526</v>
      </c>
      <c r="AB250" t="s">
        <v>43</v>
      </c>
      <c r="AC250" t="s">
        <v>43</v>
      </c>
      <c r="AD250" t="s">
        <v>43</v>
      </c>
      <c r="AE250" t="s">
        <v>43</v>
      </c>
      <c r="AF250" t="str">
        <f>AA250</f>
        <v>Sportplatz 1 TSV Michelbach/Bilz, Hagenhofweg, 74544 Michelbach an der Bilz</v>
      </c>
      <c r="AG250" t="str">
        <f>TRIM(MID(AF250, FIND(", ", AF250)+2, FIND(", ", AF250, FIND(", ", AF250)+1) - FIND(", ", AF250) - 2))</f>
        <v>Hagenhofweg</v>
      </c>
      <c r="AH250" t="str">
        <f>_xlfn.TEXTBEFORE(_xlfn.TEXTAFTER(AF250, ", ", 2), " ")</f>
        <v>74544</v>
      </c>
      <c r="AI250" t="str">
        <f>_xlfn.TEXTAFTER(_xlfn.TEXTAFTER(AF250, ", ", 2), " ")</f>
        <v>Michelbach an der Bilz</v>
      </c>
    </row>
    <row r="251" spans="1:35" x14ac:dyDescent="0.2">
      <c r="A251" t="str">
        <f>B251&amp;C251&amp;H251&amp;N251</f>
        <v>35000992TSV ObersontheimC-Junioren2</v>
      </c>
      <c r="B251" t="s">
        <v>656</v>
      </c>
      <c r="C251" t="s">
        <v>657</v>
      </c>
      <c r="D251" t="s">
        <v>58</v>
      </c>
      <c r="E251" t="s">
        <v>35</v>
      </c>
      <c r="F251" t="s">
        <v>50</v>
      </c>
      <c r="G251">
        <v>12</v>
      </c>
      <c r="H251" t="s">
        <v>594</v>
      </c>
      <c r="I251" t="s">
        <v>114</v>
      </c>
      <c r="J251" t="s">
        <v>683</v>
      </c>
      <c r="K251" t="s">
        <v>798</v>
      </c>
      <c r="L251" t="s">
        <v>1368</v>
      </c>
      <c r="M251">
        <v>2</v>
      </c>
      <c r="N251">
        <v>2</v>
      </c>
      <c r="O251" t="s">
        <v>806</v>
      </c>
      <c r="P251" t="s">
        <v>40</v>
      </c>
      <c r="Q251" t="s">
        <v>40</v>
      </c>
      <c r="R251" t="s">
        <v>41</v>
      </c>
      <c r="U251" t="s">
        <v>226</v>
      </c>
      <c r="V251" t="s">
        <v>43</v>
      </c>
      <c r="W251" t="s">
        <v>43</v>
      </c>
      <c r="Y251" t="s">
        <v>807</v>
      </c>
      <c r="Z251" t="s">
        <v>45</v>
      </c>
      <c r="AA251" t="s">
        <v>507</v>
      </c>
      <c r="AB251" t="s">
        <v>43</v>
      </c>
      <c r="AC251" t="s">
        <v>43</v>
      </c>
      <c r="AD251" t="s">
        <v>43</v>
      </c>
      <c r="AE251" t="s">
        <v>43</v>
      </c>
      <c r="AF251" t="str">
        <f>AA251</f>
        <v>Kunstrasenplatz TSV Obersontheim, Hagenbusch, 74423 Obersontheim</v>
      </c>
      <c r="AG251" t="str">
        <f>TRIM(MID(AF251, FIND(", ", AF251)+2, FIND(", ", AF251, FIND(", ", AF251)+1) - FIND(", ", AF251) - 2))</f>
        <v>Hagenbusch</v>
      </c>
      <c r="AH251" t="str">
        <f>_xlfn.TEXTBEFORE(_xlfn.TEXTAFTER(AF251, ", ", 2), " ")</f>
        <v>74423</v>
      </c>
      <c r="AI251" t="str">
        <f>_xlfn.TEXTAFTER(_xlfn.TEXTAFTER(AF251, ", ", 2), " ")</f>
        <v>Obersontheim</v>
      </c>
    </row>
    <row r="252" spans="1:35" x14ac:dyDescent="0.2">
      <c r="A252" t="str">
        <f>B252&amp;C252&amp;H252&amp;N252</f>
        <v>35001186TSV SulzdorfC-Junioren2</v>
      </c>
      <c r="B252" t="s">
        <v>184</v>
      </c>
      <c r="C252" t="s">
        <v>185</v>
      </c>
      <c r="D252" t="s">
        <v>58</v>
      </c>
      <c r="E252" t="s">
        <v>35</v>
      </c>
      <c r="F252" t="s">
        <v>50</v>
      </c>
      <c r="G252">
        <v>12</v>
      </c>
      <c r="H252" t="s">
        <v>594</v>
      </c>
      <c r="I252" t="s">
        <v>114</v>
      </c>
      <c r="J252" t="s">
        <v>683</v>
      </c>
      <c r="K252" t="s">
        <v>798</v>
      </c>
      <c r="L252" t="s">
        <v>1368</v>
      </c>
      <c r="M252">
        <v>5</v>
      </c>
      <c r="N252">
        <v>2</v>
      </c>
      <c r="O252" t="s">
        <v>811</v>
      </c>
      <c r="P252" t="s">
        <v>40</v>
      </c>
      <c r="Q252" t="s">
        <v>53</v>
      </c>
      <c r="R252" t="s">
        <v>41</v>
      </c>
      <c r="U252" t="s">
        <v>226</v>
      </c>
      <c r="V252" t="s">
        <v>43</v>
      </c>
      <c r="W252" t="s">
        <v>43</v>
      </c>
      <c r="Y252" t="s">
        <v>43</v>
      </c>
      <c r="Z252" t="s">
        <v>45</v>
      </c>
      <c r="AA252" t="s">
        <v>187</v>
      </c>
      <c r="AB252" t="s">
        <v>43</v>
      </c>
      <c r="AC252" t="s">
        <v>43</v>
      </c>
      <c r="AD252" t="s">
        <v>43</v>
      </c>
      <c r="AE252" t="s">
        <v>43</v>
      </c>
      <c r="AF252" t="str">
        <f>AA252</f>
        <v>Sportplatz 1 TSV Sulzdorf, Ladestr. 5, 74523 Schwäbisch Hall-Sulzdorf</v>
      </c>
      <c r="AG252" t="str">
        <f>TRIM(MID(AF252, FIND(", ", AF252)+2, FIND(", ", AF252, FIND(", ", AF252)+1) - FIND(", ", AF252) - 2))</f>
        <v>Ladestr. 5</v>
      </c>
      <c r="AH252" t="str">
        <f>_xlfn.TEXTBEFORE(_xlfn.TEXTAFTER(AF252, ", ", 2), " ")</f>
        <v>74523</v>
      </c>
      <c r="AI252" t="str">
        <f>_xlfn.TEXTAFTER(_xlfn.TEXTAFTER(AF252, ", ", 2), " ")</f>
        <v>Schwäbisch Hall-Sulzdorf</v>
      </c>
    </row>
    <row r="253" spans="1:35" x14ac:dyDescent="0.2">
      <c r="A253" t="str">
        <f>B253&amp;C253&amp;H253&amp;N253</f>
        <v>35000400SK FichtenbergC-Junioren1</v>
      </c>
      <c r="B253" t="s">
        <v>802</v>
      </c>
      <c r="C253" t="s">
        <v>803</v>
      </c>
      <c r="D253" t="s">
        <v>288</v>
      </c>
      <c r="E253" t="s">
        <v>289</v>
      </c>
      <c r="F253" t="s">
        <v>290</v>
      </c>
      <c r="G253">
        <v>12</v>
      </c>
      <c r="H253" t="s">
        <v>594</v>
      </c>
      <c r="I253" t="s">
        <v>114</v>
      </c>
      <c r="J253" t="s">
        <v>683</v>
      </c>
      <c r="K253" t="s">
        <v>798</v>
      </c>
      <c r="L253" t="s">
        <v>1368</v>
      </c>
      <c r="M253">
        <v>3</v>
      </c>
      <c r="N253">
        <v>1</v>
      </c>
      <c r="O253" t="s">
        <v>804</v>
      </c>
      <c r="P253" t="s">
        <v>40</v>
      </c>
      <c r="Q253" t="s">
        <v>40</v>
      </c>
      <c r="R253" t="s">
        <v>41</v>
      </c>
      <c r="U253" t="s">
        <v>118</v>
      </c>
      <c r="V253" t="s">
        <v>43</v>
      </c>
      <c r="W253" t="s">
        <v>43</v>
      </c>
      <c r="Y253" t="s">
        <v>805</v>
      </c>
      <c r="Z253" t="s">
        <v>45</v>
      </c>
      <c r="AA253" t="s">
        <v>294</v>
      </c>
      <c r="AB253" t="s">
        <v>95</v>
      </c>
      <c r="AC253" t="s">
        <v>292</v>
      </c>
      <c r="AD253" t="s">
        <v>43</v>
      </c>
      <c r="AE253" t="s">
        <v>43</v>
      </c>
      <c r="AF253" t="str">
        <f>AC253</f>
        <v>Rasenplatz Oberrot, Am Sportplatz 11, 74420 Oberrot-Zentrum</v>
      </c>
      <c r="AG253" t="str">
        <f>TRIM(MID(AF253, FIND(", ", AF253)+2, FIND(", ", AF253, FIND(", ", AF253)+1) - FIND(", ", AF253) - 2))</f>
        <v>Am Sportplatz 11</v>
      </c>
      <c r="AH253" t="str">
        <f>_xlfn.TEXTBEFORE(_xlfn.TEXTAFTER(AF253, ", ", 2), " ")</f>
        <v>74420</v>
      </c>
      <c r="AI253" t="str">
        <f>_xlfn.TEXTAFTER(_xlfn.TEXTAFTER(AF253, ", ", 2), " ")</f>
        <v>Oberrot-Zentrum</v>
      </c>
    </row>
    <row r="254" spans="1:35" x14ac:dyDescent="0.2">
      <c r="A254" t="str">
        <f>B254&amp;C254&amp;H254&amp;N254</f>
        <v>35000155FC BillingsbachC-Junioren1</v>
      </c>
      <c r="B254" t="s">
        <v>814</v>
      </c>
      <c r="C254" t="s">
        <v>815</v>
      </c>
      <c r="D254" t="s">
        <v>103</v>
      </c>
      <c r="E254" t="s">
        <v>35</v>
      </c>
      <c r="F254" t="s">
        <v>50</v>
      </c>
      <c r="G254">
        <v>12</v>
      </c>
      <c r="H254" t="s">
        <v>594</v>
      </c>
      <c r="I254" t="s">
        <v>114</v>
      </c>
      <c r="J254" t="s">
        <v>683</v>
      </c>
      <c r="K254" t="s">
        <v>782</v>
      </c>
      <c r="L254" t="s">
        <v>1366</v>
      </c>
      <c r="M254">
        <v>9</v>
      </c>
      <c r="N254">
        <v>1</v>
      </c>
      <c r="O254" t="s">
        <v>816</v>
      </c>
      <c r="P254" t="s">
        <v>40</v>
      </c>
      <c r="Q254" t="s">
        <v>40</v>
      </c>
      <c r="R254" t="s">
        <v>41</v>
      </c>
      <c r="U254" t="s">
        <v>118</v>
      </c>
      <c r="V254" t="s">
        <v>43</v>
      </c>
      <c r="W254" t="s">
        <v>43</v>
      </c>
      <c r="Y254" t="s">
        <v>43</v>
      </c>
      <c r="Z254" t="s">
        <v>45</v>
      </c>
      <c r="AA254" t="s">
        <v>817</v>
      </c>
      <c r="AB254" t="s">
        <v>43</v>
      </c>
      <c r="AC254" t="s">
        <v>43</v>
      </c>
      <c r="AD254" t="s">
        <v>43</v>
      </c>
      <c r="AE254" t="s">
        <v>43</v>
      </c>
      <c r="AF254" t="str">
        <f>AA254</f>
        <v>Sportplatz 1, FC Billingsbach, Grabenäcker 1, 74572 Billingsbach</v>
      </c>
      <c r="AG254" t="str">
        <f>_xlfn.TEXTBEFORE(_xlfn.TEXTAFTER(AF254, ", ", 2), ",")</f>
        <v>Grabenäcker 1</v>
      </c>
      <c r="AH254" t="str">
        <f>_xlfn.TEXTBEFORE(_xlfn.TEXTAFTER(AF254, ", ", 3), " ")</f>
        <v>74572</v>
      </c>
      <c r="AI254" t="str">
        <f>_xlfn.TEXTAFTER(_xlfn.TEXTAFTER(AF254, ", ", 3), " ")</f>
        <v>Billingsbach</v>
      </c>
    </row>
    <row r="255" spans="1:35" x14ac:dyDescent="0.2">
      <c r="A255" t="str">
        <f>B255&amp;C255&amp;H255&amp;N255</f>
        <v>35000445Spvgg GammesfeldC-Junioren1</v>
      </c>
      <c r="B255" t="s">
        <v>508</v>
      </c>
      <c r="C255" t="s">
        <v>509</v>
      </c>
      <c r="D255" t="s">
        <v>103</v>
      </c>
      <c r="E255" t="s">
        <v>35</v>
      </c>
      <c r="F255" t="s">
        <v>50</v>
      </c>
      <c r="G255">
        <v>12</v>
      </c>
      <c r="H255" t="s">
        <v>594</v>
      </c>
      <c r="I255" t="s">
        <v>114</v>
      </c>
      <c r="J255" t="s">
        <v>683</v>
      </c>
      <c r="K255" t="s">
        <v>782</v>
      </c>
      <c r="L255" t="s">
        <v>1366</v>
      </c>
      <c r="M255">
        <v>10</v>
      </c>
      <c r="N255">
        <v>1</v>
      </c>
      <c r="O255" t="s">
        <v>818</v>
      </c>
      <c r="P255" t="s">
        <v>40</v>
      </c>
      <c r="Q255" t="s">
        <v>40</v>
      </c>
      <c r="R255" t="s">
        <v>41</v>
      </c>
      <c r="U255" t="s">
        <v>118</v>
      </c>
      <c r="V255" t="s">
        <v>43</v>
      </c>
      <c r="W255" t="s">
        <v>43</v>
      </c>
      <c r="Y255" t="s">
        <v>43</v>
      </c>
      <c r="Z255" t="s">
        <v>45</v>
      </c>
      <c r="AA255" t="s">
        <v>512</v>
      </c>
      <c r="AB255" t="s">
        <v>43</v>
      </c>
      <c r="AC255" t="s">
        <v>43</v>
      </c>
      <c r="AD255" t="s">
        <v>43</v>
      </c>
      <c r="AE255" t="s">
        <v>43</v>
      </c>
      <c r="AF255" t="str">
        <f>AA255</f>
        <v>Landwehrstadion, Freie-Weg, 74572 Blaufelden-Gammesfeld</v>
      </c>
      <c r="AG255" t="str">
        <f>TRIM(MID(AF255, FIND(", ", AF255)+2, FIND(", ", AF255, FIND(", ", AF255)+1) - FIND(", ", AF255) - 2))</f>
        <v>Freie-Weg</v>
      </c>
      <c r="AH255" t="str">
        <f>_xlfn.TEXTBEFORE(_xlfn.TEXTAFTER(AF255, ", ", 2), " ")</f>
        <v>74572</v>
      </c>
      <c r="AI255" t="str">
        <f>_xlfn.TEXTAFTER(_xlfn.TEXTAFTER(AF255, ", ", 2), " ")</f>
        <v>Blaufelden-Gammesfeld</v>
      </c>
    </row>
    <row r="256" spans="1:35" x14ac:dyDescent="0.2">
      <c r="A256" t="str">
        <f>B256&amp;C256&amp;H256&amp;N256</f>
        <v>35000493SpVgg Gröningen-SatteldorfC-Junioren2</v>
      </c>
      <c r="B256" t="s">
        <v>101</v>
      </c>
      <c r="C256" t="s">
        <v>102</v>
      </c>
      <c r="D256" t="s">
        <v>103</v>
      </c>
      <c r="E256" t="s">
        <v>35</v>
      </c>
      <c r="F256" t="s">
        <v>50</v>
      </c>
      <c r="G256">
        <v>12</v>
      </c>
      <c r="H256" t="s">
        <v>594</v>
      </c>
      <c r="I256" t="s">
        <v>114</v>
      </c>
      <c r="J256" t="s">
        <v>683</v>
      </c>
      <c r="K256" t="s">
        <v>782</v>
      </c>
      <c r="L256" t="s">
        <v>1366</v>
      </c>
      <c r="M256">
        <v>6</v>
      </c>
      <c r="N256">
        <v>2</v>
      </c>
      <c r="O256" t="s">
        <v>825</v>
      </c>
      <c r="P256" t="s">
        <v>40</v>
      </c>
      <c r="Q256" t="s">
        <v>40</v>
      </c>
      <c r="R256" t="s">
        <v>41</v>
      </c>
      <c r="U256" t="s">
        <v>226</v>
      </c>
      <c r="V256" t="s">
        <v>43</v>
      </c>
      <c r="W256" t="s">
        <v>43</v>
      </c>
      <c r="Y256" t="s">
        <v>43</v>
      </c>
      <c r="Z256" t="s">
        <v>45</v>
      </c>
      <c r="AA256" t="s">
        <v>826</v>
      </c>
      <c r="AB256" t="s">
        <v>43</v>
      </c>
      <c r="AC256" t="s">
        <v>43</v>
      </c>
      <c r="AD256" t="s">
        <v>43</v>
      </c>
      <c r="AE256" t="s">
        <v>43</v>
      </c>
      <c r="AF256" t="str">
        <f>AA256</f>
        <v>Platz 1 SpVgg Satteldorf, Kernmühlenweg, 74589 Satteldorf-Neidenfels</v>
      </c>
      <c r="AG256" t="str">
        <f>TRIM(MID(AF256, FIND(", ", AF256)+2, FIND(", ", AF256, FIND(", ", AF256)+1) - FIND(", ", AF256) - 2))</f>
        <v>Kernmühlenweg</v>
      </c>
      <c r="AH256" t="str">
        <f>_xlfn.TEXTBEFORE(_xlfn.TEXTAFTER(AF256, ", ", 2), " ")</f>
        <v>74589</v>
      </c>
      <c r="AI256" t="str">
        <f>_xlfn.TEXTAFTER(_xlfn.TEXTAFTER(AF256, ", ", 2), " ")</f>
        <v>Satteldorf-Neidenfels</v>
      </c>
    </row>
    <row r="257" spans="1:35" x14ac:dyDescent="0.2">
      <c r="A257" t="str">
        <f>B257&amp;C257&amp;H257&amp;N257</f>
        <v>35000709TSG Kirchberg/JagstC-Junioren1</v>
      </c>
      <c r="B257" t="s">
        <v>352</v>
      </c>
      <c r="C257" t="s">
        <v>353</v>
      </c>
      <c r="D257" t="s">
        <v>103</v>
      </c>
      <c r="E257" t="s">
        <v>35</v>
      </c>
      <c r="F257" t="s">
        <v>50</v>
      </c>
      <c r="G257">
        <v>12</v>
      </c>
      <c r="H257" t="s">
        <v>594</v>
      </c>
      <c r="I257" t="s">
        <v>114</v>
      </c>
      <c r="J257" t="s">
        <v>683</v>
      </c>
      <c r="K257" t="s">
        <v>782</v>
      </c>
      <c r="L257" t="s">
        <v>1366</v>
      </c>
      <c r="M257">
        <v>3</v>
      </c>
      <c r="N257">
        <v>1</v>
      </c>
      <c r="O257" t="s">
        <v>827</v>
      </c>
      <c r="P257" t="s">
        <v>40</v>
      </c>
      <c r="Q257" t="s">
        <v>40</v>
      </c>
      <c r="R257" t="s">
        <v>41</v>
      </c>
      <c r="U257" t="s">
        <v>118</v>
      </c>
      <c r="V257" t="s">
        <v>43</v>
      </c>
      <c r="W257" t="s">
        <v>43</v>
      </c>
      <c r="Y257" t="s">
        <v>43</v>
      </c>
      <c r="Z257" t="s">
        <v>45</v>
      </c>
      <c r="AA257" t="s">
        <v>354</v>
      </c>
      <c r="AB257" t="s">
        <v>43</v>
      </c>
      <c r="AC257" t="s">
        <v>43</v>
      </c>
      <c r="AD257" t="s">
        <v>43</v>
      </c>
      <c r="AE257" t="s">
        <v>43</v>
      </c>
      <c r="AF257" t="str">
        <f>AA257</f>
        <v>Sportplatz 1, Uferweg 20, 74592 Kirchberg an der Jagst</v>
      </c>
      <c r="AG257" t="str">
        <f>TRIM(MID(AF257, FIND(", ", AF257)+2, FIND(", ", AF257, FIND(", ", AF257)+1) - FIND(", ", AF257) - 2))</f>
        <v>Uferweg 20</v>
      </c>
      <c r="AH257" t="str">
        <f>_xlfn.TEXTBEFORE(_xlfn.TEXTAFTER(AF257, ", ", 2), " ")</f>
        <v>74592</v>
      </c>
      <c r="AI257" t="str">
        <f>_xlfn.TEXTAFTER(_xlfn.TEXTAFTER(AF257, ", ", 2), " ")</f>
        <v>Kirchberg an der Jagst</v>
      </c>
    </row>
    <row r="258" spans="1:35" x14ac:dyDescent="0.2">
      <c r="A258" t="str">
        <f>B258&amp;C258&amp;H258&amp;N258</f>
        <v>35001508SV WestgartshausenC-Junioren1</v>
      </c>
      <c r="B258" t="s">
        <v>580</v>
      </c>
      <c r="C258" t="s">
        <v>581</v>
      </c>
      <c r="D258" t="s">
        <v>103</v>
      </c>
      <c r="E258" t="s">
        <v>35</v>
      </c>
      <c r="F258" t="s">
        <v>50</v>
      </c>
      <c r="G258">
        <v>12</v>
      </c>
      <c r="H258" t="s">
        <v>594</v>
      </c>
      <c r="I258" t="s">
        <v>114</v>
      </c>
      <c r="J258" t="s">
        <v>683</v>
      </c>
      <c r="K258" t="s">
        <v>782</v>
      </c>
      <c r="L258" t="s">
        <v>1366</v>
      </c>
      <c r="M258">
        <v>4</v>
      </c>
      <c r="N258">
        <v>1</v>
      </c>
      <c r="O258" t="s">
        <v>819</v>
      </c>
      <c r="P258" t="s">
        <v>40</v>
      </c>
      <c r="Q258" t="s">
        <v>40</v>
      </c>
      <c r="R258" t="s">
        <v>41</v>
      </c>
      <c r="U258" t="s">
        <v>118</v>
      </c>
      <c r="V258" t="s">
        <v>43</v>
      </c>
      <c r="W258" t="s">
        <v>43</v>
      </c>
      <c r="Y258" t="s">
        <v>43</v>
      </c>
      <c r="Z258" t="s">
        <v>45</v>
      </c>
      <c r="AA258" t="s">
        <v>583</v>
      </c>
      <c r="AB258" t="s">
        <v>43</v>
      </c>
      <c r="AC258" t="s">
        <v>43</v>
      </c>
      <c r="AD258" t="s">
        <v>43</v>
      </c>
      <c r="AE258" t="s">
        <v>43</v>
      </c>
      <c r="AF258" t="str">
        <f>AA258</f>
        <v>Sportplatz 1 SV Westgartshausen, Unteres Weiler, 74564 Crailsheim-Westgartshausen</v>
      </c>
      <c r="AG258" t="str">
        <f>TRIM(MID(AF258, FIND(", ", AF258)+2, FIND(", ", AF258, FIND(", ", AF258)+1) - FIND(", ", AF258) - 2))</f>
        <v>Unteres Weiler</v>
      </c>
      <c r="AH258" t="str">
        <f>_xlfn.TEXTBEFORE(_xlfn.TEXTAFTER(AF258, ", ", 2), " ")</f>
        <v>74564</v>
      </c>
      <c r="AI258" t="str">
        <f>_xlfn.TEXTAFTER(_xlfn.TEXTAFTER(AF258, ", ", 2), " ")</f>
        <v>Crailsheim-Westgartshausen</v>
      </c>
    </row>
    <row r="259" spans="1:35" x14ac:dyDescent="0.2">
      <c r="A259" t="str">
        <f>B259&amp;C259&amp;H259&amp;N259</f>
        <v>35000207TSV BraunsbachC-Junioren1</v>
      </c>
      <c r="B259" t="s">
        <v>828</v>
      </c>
      <c r="C259" t="s">
        <v>829</v>
      </c>
      <c r="D259" t="s">
        <v>58</v>
      </c>
      <c r="E259" t="s">
        <v>35</v>
      </c>
      <c r="F259" t="s">
        <v>50</v>
      </c>
      <c r="G259">
        <v>12</v>
      </c>
      <c r="H259" t="s">
        <v>594</v>
      </c>
      <c r="I259" t="s">
        <v>114</v>
      </c>
      <c r="J259" t="s">
        <v>683</v>
      </c>
      <c r="K259" t="s">
        <v>782</v>
      </c>
      <c r="L259" t="s">
        <v>1366</v>
      </c>
      <c r="M259">
        <v>8</v>
      </c>
      <c r="N259">
        <v>1</v>
      </c>
      <c r="O259" t="s">
        <v>829</v>
      </c>
      <c r="P259" t="s">
        <v>40</v>
      </c>
      <c r="Q259" t="s">
        <v>40</v>
      </c>
      <c r="R259" t="s">
        <v>41</v>
      </c>
      <c r="U259" t="s">
        <v>226</v>
      </c>
      <c r="V259" t="s">
        <v>43</v>
      </c>
      <c r="W259" t="s">
        <v>43</v>
      </c>
      <c r="Y259" t="s">
        <v>830</v>
      </c>
      <c r="Z259" t="s">
        <v>45</v>
      </c>
      <c r="AA259" t="s">
        <v>831</v>
      </c>
      <c r="AB259" t="s">
        <v>43</v>
      </c>
      <c r="AC259" t="s">
        <v>43</v>
      </c>
      <c r="AD259" t="s">
        <v>43</v>
      </c>
      <c r="AE259" t="s">
        <v>43</v>
      </c>
      <c r="AF259" t="str">
        <f>AA259</f>
        <v>Kunstrasenplatz TSV Braunsbach, Im Kies 1, 74542 Braunsbach</v>
      </c>
      <c r="AG259" t="str">
        <f>TRIM(MID(AF259, FIND(", ", AF259)+2, FIND(", ", AF259, FIND(", ", AF259)+1) - FIND(", ", AF259) - 2))</f>
        <v>Im Kies 1</v>
      </c>
      <c r="AH259" t="str">
        <f>_xlfn.TEXTBEFORE(_xlfn.TEXTAFTER(AF259, ", ", 2), " ")</f>
        <v>74542</v>
      </c>
      <c r="AI259" t="str">
        <f>_xlfn.TEXTAFTER(_xlfn.TEXTAFTER(AF259, ", ", 2), " ")</f>
        <v>Braunsbach</v>
      </c>
    </row>
    <row r="260" spans="1:35" x14ac:dyDescent="0.2">
      <c r="A260" t="str">
        <f>B260&amp;C260&amp;H260&amp;N260</f>
        <v>35000047TSV Althausen-NeunkirchenC-Junioren1</v>
      </c>
      <c r="B260" t="s">
        <v>820</v>
      </c>
      <c r="C260" t="s">
        <v>821</v>
      </c>
      <c r="D260" t="s">
        <v>204</v>
      </c>
      <c r="E260" t="s">
        <v>35</v>
      </c>
      <c r="F260" t="s">
        <v>50</v>
      </c>
      <c r="G260">
        <v>3</v>
      </c>
      <c r="H260" t="s">
        <v>594</v>
      </c>
      <c r="I260" t="s">
        <v>114</v>
      </c>
      <c r="J260" t="s">
        <v>683</v>
      </c>
      <c r="K260" t="s">
        <v>782</v>
      </c>
      <c r="L260" t="s">
        <v>1366</v>
      </c>
      <c r="M260">
        <v>2</v>
      </c>
      <c r="N260">
        <v>1</v>
      </c>
      <c r="O260" t="s">
        <v>822</v>
      </c>
      <c r="P260" t="s">
        <v>40</v>
      </c>
      <c r="Q260" t="s">
        <v>40</v>
      </c>
      <c r="R260" t="s">
        <v>41</v>
      </c>
      <c r="U260" t="s">
        <v>118</v>
      </c>
      <c r="V260" t="s">
        <v>43</v>
      </c>
      <c r="W260" t="s">
        <v>43</v>
      </c>
      <c r="Y260" t="s">
        <v>823</v>
      </c>
      <c r="Z260" t="s">
        <v>45</v>
      </c>
      <c r="AA260" t="s">
        <v>562</v>
      </c>
      <c r="AB260" t="s">
        <v>43</v>
      </c>
      <c r="AC260" t="s">
        <v>43</v>
      </c>
      <c r="AD260" t="s">
        <v>43</v>
      </c>
      <c r="AE260" t="s">
        <v>43</v>
      </c>
      <c r="AF260" t="str">
        <f>AA260</f>
        <v>Sportpark im Erpfental, Erpfentalstr. 6, 97980 Bad Mergentheim-Wachbach</v>
      </c>
      <c r="AG260" t="str">
        <f>TRIM(MID(AF260, FIND(", ", AF260)+2, FIND(", ", AF260, FIND(", ", AF260)+1) - FIND(", ", AF260) - 2))</f>
        <v>Erpfentalstr. 6</v>
      </c>
      <c r="AH260" t="str">
        <f>_xlfn.TEXTBEFORE(_xlfn.TEXTAFTER(AF260, ", ", 2), " ")</f>
        <v>97980</v>
      </c>
      <c r="AI260" t="str">
        <f>_xlfn.TEXTAFTER(_xlfn.TEXTAFTER(AF260, ", ", 2), " ")</f>
        <v>Bad Mergentheim-Wachbach</v>
      </c>
    </row>
    <row r="261" spans="1:35" x14ac:dyDescent="0.2">
      <c r="A261" t="str">
        <f>B261&amp;C261&amp;H261&amp;N261</f>
        <v>350006591. FC IgersheimC-Junioren1</v>
      </c>
      <c r="B261" t="s">
        <v>408</v>
      </c>
      <c r="C261" t="s">
        <v>409</v>
      </c>
      <c r="D261" t="s">
        <v>204</v>
      </c>
      <c r="E261" t="s">
        <v>35</v>
      </c>
      <c r="F261" t="s">
        <v>50</v>
      </c>
      <c r="G261">
        <v>3</v>
      </c>
      <c r="H261" t="s">
        <v>594</v>
      </c>
      <c r="I261" t="s">
        <v>114</v>
      </c>
      <c r="J261" t="s">
        <v>683</v>
      </c>
      <c r="K261" t="s">
        <v>782</v>
      </c>
      <c r="L261" t="s">
        <v>1366</v>
      </c>
      <c r="M261">
        <v>7</v>
      </c>
      <c r="N261">
        <v>1</v>
      </c>
      <c r="O261" t="s">
        <v>409</v>
      </c>
      <c r="P261" t="s">
        <v>40</v>
      </c>
      <c r="Q261" t="s">
        <v>40</v>
      </c>
      <c r="R261" t="s">
        <v>41</v>
      </c>
      <c r="U261" t="s">
        <v>118</v>
      </c>
      <c r="V261" t="s">
        <v>43</v>
      </c>
      <c r="W261" t="s">
        <v>43</v>
      </c>
      <c r="Y261" t="s">
        <v>43</v>
      </c>
      <c r="Z261" t="s">
        <v>45</v>
      </c>
      <c r="AA261" t="s">
        <v>206</v>
      </c>
      <c r="AB261" t="s">
        <v>43</v>
      </c>
      <c r="AC261" t="s">
        <v>43</v>
      </c>
      <c r="AD261" t="s">
        <v>43</v>
      </c>
      <c r="AE261" t="s">
        <v>43</v>
      </c>
      <c r="AF261" t="str">
        <f>AA261</f>
        <v>Sportplatz an der Erlenbachtalhalle Igersheim, Erlenbachtalstr., 97999 Igersheim-Zentrum</v>
      </c>
      <c r="AG261" t="str">
        <f>TRIM(MID(AF261, FIND(", ", AF261)+2, FIND(", ", AF261, FIND(", ", AF261)+1) - FIND(", ", AF261) - 2))</f>
        <v>Erlenbachtalstr.</v>
      </c>
      <c r="AH261" t="str">
        <f>_xlfn.TEXTBEFORE(_xlfn.TEXTAFTER(AF261, ", ", 2), " ")</f>
        <v>97999</v>
      </c>
      <c r="AI261" t="str">
        <f>_xlfn.TEXTAFTER(_xlfn.TEXTAFTER(AF261, ", ", 2), " ")</f>
        <v>Igersheim-Zentrum</v>
      </c>
    </row>
    <row r="262" spans="1:35" x14ac:dyDescent="0.2">
      <c r="A262" t="str">
        <f>B262&amp;C262&amp;H262&amp;N262</f>
        <v>35001478TSV WeikersheimC-Junioren1</v>
      </c>
      <c r="B262" t="s">
        <v>325</v>
      </c>
      <c r="C262" t="s">
        <v>326</v>
      </c>
      <c r="D262" t="s">
        <v>204</v>
      </c>
      <c r="E262" t="s">
        <v>35</v>
      </c>
      <c r="F262" t="s">
        <v>50</v>
      </c>
      <c r="G262">
        <v>3</v>
      </c>
      <c r="H262" t="s">
        <v>594</v>
      </c>
      <c r="I262" t="s">
        <v>114</v>
      </c>
      <c r="J262" t="s">
        <v>683</v>
      </c>
      <c r="K262" t="s">
        <v>782</v>
      </c>
      <c r="L262" t="s">
        <v>1366</v>
      </c>
      <c r="M262">
        <v>5</v>
      </c>
      <c r="N262">
        <v>1</v>
      </c>
      <c r="O262" t="s">
        <v>563</v>
      </c>
      <c r="P262" t="s">
        <v>40</v>
      </c>
      <c r="Q262" t="s">
        <v>53</v>
      </c>
      <c r="R262" t="s">
        <v>41</v>
      </c>
      <c r="U262" t="s">
        <v>226</v>
      </c>
      <c r="V262" t="s">
        <v>43</v>
      </c>
      <c r="W262" t="s">
        <v>43</v>
      </c>
      <c r="Y262" t="s">
        <v>43</v>
      </c>
      <c r="Z262" t="s">
        <v>45</v>
      </c>
      <c r="AA262" t="s">
        <v>824</v>
      </c>
      <c r="AB262" t="s">
        <v>43</v>
      </c>
      <c r="AC262" t="s">
        <v>43</v>
      </c>
      <c r="AD262" t="s">
        <v>43</v>
      </c>
      <c r="AE262" t="s">
        <v>43</v>
      </c>
      <c r="AF262" t="str">
        <f>AA262</f>
        <v>Sportplatz 1 Markelsheim, Unterer Wasen 5, 97980 Bad Mergentheim-Markelsheim</v>
      </c>
      <c r="AG262" t="str">
        <f>TRIM(MID(AF262, FIND(", ", AF262)+2, FIND(", ", AF262, FIND(", ", AF262)+1) - FIND(", ", AF262) - 2))</f>
        <v>Unterer Wasen 5</v>
      </c>
      <c r="AH262" t="str">
        <f>_xlfn.TEXTBEFORE(_xlfn.TEXTAFTER(AF262, ", ", 2), " ")</f>
        <v>97980</v>
      </c>
      <c r="AI262" t="str">
        <f>_xlfn.TEXTAFTER(_xlfn.TEXTAFTER(AF262, ", ", 2), " ")</f>
        <v>Bad Mergentheim-Markelsheim</v>
      </c>
    </row>
    <row r="263" spans="1:35" x14ac:dyDescent="0.2">
      <c r="A263" t="str">
        <f>B263&amp;C263&amp;H263&amp;N263</f>
        <v>35000709TSG Kirchberg/JagstC-Junioren2</v>
      </c>
      <c r="B263" t="s">
        <v>352</v>
      </c>
      <c r="C263" t="s">
        <v>353</v>
      </c>
      <c r="D263" t="s">
        <v>103</v>
      </c>
      <c r="E263" t="s">
        <v>35</v>
      </c>
      <c r="F263" t="s">
        <v>50</v>
      </c>
      <c r="G263">
        <v>12</v>
      </c>
      <c r="H263" t="s">
        <v>594</v>
      </c>
      <c r="I263" s="5"/>
      <c r="J263" s="5"/>
      <c r="K263" s="5"/>
      <c r="L263" s="5"/>
      <c r="M263" s="5"/>
      <c r="N263">
        <v>2</v>
      </c>
      <c r="O263" t="s">
        <v>832</v>
      </c>
      <c r="P263" t="s">
        <v>40</v>
      </c>
      <c r="Q263" t="s">
        <v>53</v>
      </c>
      <c r="R263" t="s">
        <v>41</v>
      </c>
      <c r="U263" t="s">
        <v>226</v>
      </c>
      <c r="V263" t="s">
        <v>43</v>
      </c>
      <c r="W263" t="s">
        <v>43</v>
      </c>
      <c r="Y263" t="s">
        <v>43</v>
      </c>
      <c r="Z263" t="s">
        <v>45</v>
      </c>
      <c r="AA263" t="s">
        <v>354</v>
      </c>
      <c r="AB263" t="s">
        <v>43</v>
      </c>
      <c r="AC263" t="s">
        <v>43</v>
      </c>
      <c r="AD263" t="s">
        <v>43</v>
      </c>
      <c r="AE263" t="s">
        <v>43</v>
      </c>
      <c r="AF263" t="str">
        <f>AA263</f>
        <v>Sportplatz 1, Uferweg 20, 74592 Kirchberg an der Jagst</v>
      </c>
      <c r="AG263" t="str">
        <f>TRIM(MID(AF263, FIND(", ", AF263)+2, FIND(", ", AF263, FIND(", ", AF263)+1) - FIND(", ", AF263) - 2))</f>
        <v>Uferweg 20</v>
      </c>
      <c r="AH263" t="str">
        <f>_xlfn.TEXTBEFORE(_xlfn.TEXTAFTER(AF263, ", ", 2), " ")</f>
        <v>74592</v>
      </c>
      <c r="AI263" t="str">
        <f>_xlfn.TEXTAFTER(_xlfn.TEXTAFTER(AF263, ", ", 2), " ")</f>
        <v>Kirchberg an der Jagst</v>
      </c>
    </row>
    <row r="264" spans="1:35" x14ac:dyDescent="0.2">
      <c r="A264" t="str">
        <f>B264&amp;C264&amp;H264&amp;N264</f>
        <v>35000409TG ForchtenbergD-Junioren1</v>
      </c>
      <c r="B264" t="s">
        <v>838</v>
      </c>
      <c r="C264" t="s">
        <v>839</v>
      </c>
      <c r="D264" t="s">
        <v>49</v>
      </c>
      <c r="E264" t="s">
        <v>35</v>
      </c>
      <c r="F264" t="s">
        <v>50</v>
      </c>
      <c r="G264">
        <v>3</v>
      </c>
      <c r="H264" t="s">
        <v>833</v>
      </c>
      <c r="I264" s="2" t="s">
        <v>834</v>
      </c>
      <c r="J264" t="s">
        <v>835</v>
      </c>
      <c r="N264">
        <v>1</v>
      </c>
      <c r="O264" t="s">
        <v>840</v>
      </c>
      <c r="P264" t="s">
        <v>40</v>
      </c>
      <c r="Q264" t="s">
        <v>40</v>
      </c>
      <c r="R264" t="s">
        <v>836</v>
      </c>
      <c r="T264" t="s">
        <v>841</v>
      </c>
      <c r="U264" t="s">
        <v>118</v>
      </c>
      <c r="V264" t="s">
        <v>43</v>
      </c>
      <c r="W264" t="s">
        <v>43</v>
      </c>
      <c r="Y264" t="s">
        <v>842</v>
      </c>
      <c r="Z264" t="s">
        <v>45</v>
      </c>
      <c r="AA264" t="s">
        <v>843</v>
      </c>
      <c r="AB264" t="s">
        <v>43</v>
      </c>
      <c r="AC264" t="s">
        <v>43</v>
      </c>
      <c r="AD264" t="s">
        <v>43</v>
      </c>
      <c r="AE264" t="s">
        <v>43</v>
      </c>
      <c r="AF264" t="str">
        <f>AA264</f>
        <v>Sportplatz Sindringen, Tuchbleiche 21, 74670 Forchtenberg-Sindringen</v>
      </c>
      <c r="AG264" t="str">
        <f>TRIM(MID(AF264, FIND(", ", AF264)+2, FIND(", ", AF264, FIND(", ", AF264)+1) - FIND(", ", AF264) - 2))</f>
        <v>Tuchbleiche 21</v>
      </c>
      <c r="AH264" t="str">
        <f>_xlfn.TEXTBEFORE(_xlfn.TEXTAFTER(AF264, ", ", 2), " ")</f>
        <v>74670</v>
      </c>
      <c r="AI264" t="str">
        <f>_xlfn.TEXTAFTER(_xlfn.TEXTAFTER(AF264, ", ", 2), " ")</f>
        <v>Forchtenberg-Sindringen</v>
      </c>
    </row>
    <row r="265" spans="1:35" x14ac:dyDescent="0.2">
      <c r="A265" t="str">
        <f>B265&amp;C265&amp;H265&amp;N265</f>
        <v>35000636FSV HollenbachD-Junioren1</v>
      </c>
      <c r="B265" t="s">
        <v>47</v>
      </c>
      <c r="C265" t="s">
        <v>48</v>
      </c>
      <c r="D265" t="s">
        <v>49</v>
      </c>
      <c r="E265" t="s">
        <v>35</v>
      </c>
      <c r="F265" t="s">
        <v>50</v>
      </c>
      <c r="G265">
        <v>3</v>
      </c>
      <c r="H265" t="s">
        <v>833</v>
      </c>
      <c r="I265" t="s">
        <v>834</v>
      </c>
      <c r="J265" t="s">
        <v>835</v>
      </c>
      <c r="N265">
        <v>1</v>
      </c>
      <c r="O265" t="s">
        <v>48</v>
      </c>
      <c r="P265" t="s">
        <v>40</v>
      </c>
      <c r="Q265" t="s">
        <v>53</v>
      </c>
      <c r="R265" t="s">
        <v>836</v>
      </c>
      <c r="T265" t="s">
        <v>837</v>
      </c>
      <c r="U265" t="s">
        <v>42</v>
      </c>
      <c r="V265" t="s">
        <v>43</v>
      </c>
      <c r="W265" t="s">
        <v>43</v>
      </c>
      <c r="Y265" t="s">
        <v>43</v>
      </c>
      <c r="Z265" t="s">
        <v>45</v>
      </c>
      <c r="AA265" t="s">
        <v>55</v>
      </c>
      <c r="AB265" t="s">
        <v>43</v>
      </c>
      <c r="AC265" t="s">
        <v>43</v>
      </c>
      <c r="AD265" t="s">
        <v>43</v>
      </c>
      <c r="AE265" t="s">
        <v>43</v>
      </c>
      <c r="AF265" t="str">
        <f>AA265</f>
        <v>Jako Arena (Kunstrasenplatz), Am Sportplatz 40, 74673 Mulfingen-Hollenbach</v>
      </c>
      <c r="AG265" t="str">
        <f>TRIM(MID(AF265, FIND(", ", AF265)+2, FIND(", ", AF265, FIND(", ", AF265)+1) - FIND(", ", AF265) - 2))</f>
        <v>Am Sportplatz 40</v>
      </c>
      <c r="AH265" t="str">
        <f>_xlfn.TEXTBEFORE(_xlfn.TEXTAFTER(AF265, ", ", 2), " ")</f>
        <v>74673</v>
      </c>
      <c r="AI265" t="str">
        <f>_xlfn.TEXTAFTER(_xlfn.TEXTAFTER(AF265, ", ", 2), " ")</f>
        <v>Mulfingen-Hollenbach</v>
      </c>
    </row>
    <row r="266" spans="1:35" x14ac:dyDescent="0.2">
      <c r="A266" t="str">
        <f>B266&amp;C266&amp;H266&amp;N266</f>
        <v>35000205VfL BrackenheimD-Junioren1</v>
      </c>
      <c r="B266" t="s">
        <v>865</v>
      </c>
      <c r="C266" t="s">
        <v>866</v>
      </c>
      <c r="D266" t="s">
        <v>34</v>
      </c>
      <c r="E266" t="s">
        <v>35</v>
      </c>
      <c r="F266" t="s">
        <v>36</v>
      </c>
      <c r="G266">
        <v>3</v>
      </c>
      <c r="H266" t="s">
        <v>833</v>
      </c>
      <c r="I266" t="s">
        <v>844</v>
      </c>
      <c r="J266" t="s">
        <v>845</v>
      </c>
      <c r="K266" t="s">
        <v>846</v>
      </c>
      <c r="L266" t="s">
        <v>1376</v>
      </c>
      <c r="M266">
        <v>1</v>
      </c>
      <c r="N266">
        <v>1</v>
      </c>
      <c r="O266" t="s">
        <v>867</v>
      </c>
      <c r="P266" t="s">
        <v>40</v>
      </c>
      <c r="Q266" t="s">
        <v>40</v>
      </c>
      <c r="R266" t="s">
        <v>836</v>
      </c>
      <c r="T266" t="s">
        <v>837</v>
      </c>
      <c r="U266" t="s">
        <v>118</v>
      </c>
      <c r="V266" t="s">
        <v>43</v>
      </c>
      <c r="W266" t="s">
        <v>43</v>
      </c>
      <c r="Y266" t="s">
        <v>43</v>
      </c>
      <c r="Z266" t="s">
        <v>45</v>
      </c>
      <c r="AA266" t="s">
        <v>395</v>
      </c>
      <c r="AB266" t="s">
        <v>868</v>
      </c>
      <c r="AC266" t="s">
        <v>869</v>
      </c>
      <c r="AD266" t="s">
        <v>43</v>
      </c>
      <c r="AE266" t="s">
        <v>43</v>
      </c>
      <c r="AF266" t="str">
        <f>AC266</f>
        <v>Meimsheim Rasen 2, Alter Lauffener Weg, 74336 Brackenheim-Meimsheim</v>
      </c>
      <c r="AG266" t="str">
        <f>TRIM(MID(AF266, FIND(", ", AF266)+2, FIND(", ", AF266, FIND(", ", AF266)+1) - FIND(", ", AF266) - 2))</f>
        <v>Alter Lauffener Weg</v>
      </c>
      <c r="AH266" t="str">
        <f>_xlfn.TEXTBEFORE(_xlfn.TEXTAFTER(AF266, ", ", 2), " ")</f>
        <v>74336</v>
      </c>
      <c r="AI266" t="str">
        <f>_xlfn.TEXTAFTER(_xlfn.TEXTAFTER(AF266, ", ", 2), " ")</f>
        <v>Brackenheim-Meimsheim</v>
      </c>
    </row>
    <row r="267" spans="1:35" x14ac:dyDescent="0.2">
      <c r="A267" t="str">
        <f>B267&amp;C267&amp;H267&amp;N267</f>
        <v>35000411Sportverein Heilbronn am Leinbach 1891D-Junioren1</v>
      </c>
      <c r="B267" t="s">
        <v>223</v>
      </c>
      <c r="C267" t="s">
        <v>224</v>
      </c>
      <c r="D267" t="s">
        <v>34</v>
      </c>
      <c r="E267" t="s">
        <v>35</v>
      </c>
      <c r="F267" t="s">
        <v>36</v>
      </c>
      <c r="G267">
        <v>3</v>
      </c>
      <c r="H267" t="s">
        <v>833</v>
      </c>
      <c r="I267" t="s">
        <v>844</v>
      </c>
      <c r="J267" t="s">
        <v>845</v>
      </c>
      <c r="K267" t="s">
        <v>846</v>
      </c>
      <c r="L267" t="s">
        <v>1376</v>
      </c>
      <c r="M267">
        <v>7</v>
      </c>
      <c r="N267">
        <v>1</v>
      </c>
      <c r="O267" t="s">
        <v>401</v>
      </c>
      <c r="P267" t="s">
        <v>40</v>
      </c>
      <c r="Q267" t="s">
        <v>40</v>
      </c>
      <c r="R267" t="s">
        <v>836</v>
      </c>
      <c r="U267" t="s">
        <v>118</v>
      </c>
      <c r="V267" t="s">
        <v>43</v>
      </c>
      <c r="W267" t="s">
        <v>43</v>
      </c>
      <c r="Y267" t="s">
        <v>43</v>
      </c>
      <c r="Z267" t="s">
        <v>45</v>
      </c>
      <c r="AA267" t="s">
        <v>403</v>
      </c>
      <c r="AB267" t="s">
        <v>43</v>
      </c>
      <c r="AC267" t="s">
        <v>43</v>
      </c>
      <c r="AD267" t="s">
        <v>43</v>
      </c>
      <c r="AE267" t="s">
        <v>43</v>
      </c>
      <c r="AF267" t="str">
        <f>AA267</f>
        <v>Frankenbach Kunstrasen, Riedweg 52, 74078 Heilbronn-Frankenbach</v>
      </c>
      <c r="AG267" t="str">
        <f>TRIM(MID(AF267, FIND(", ", AF267)+2, FIND(", ", AF267, FIND(", ", AF267)+1) - FIND(", ", AF267) - 2))</f>
        <v>Riedweg 52</v>
      </c>
      <c r="AH267" t="str">
        <f>_xlfn.TEXTBEFORE(_xlfn.TEXTAFTER(AF267, ", ", 2), " ")</f>
        <v>74078</v>
      </c>
      <c r="AI267" t="str">
        <f>_xlfn.TEXTAFTER(_xlfn.TEXTAFTER(AF267, ", ", 2), " ")</f>
        <v>Heilbronn-Frankenbach</v>
      </c>
    </row>
    <row r="268" spans="1:35" x14ac:dyDescent="0.2">
      <c r="A268" t="str">
        <f>B268&amp;C268&amp;H268&amp;N268</f>
        <v>35000667SC IlsfeldD-Junioren1</v>
      </c>
      <c r="B268" t="s">
        <v>634</v>
      </c>
      <c r="C268" t="s">
        <v>635</v>
      </c>
      <c r="D268" t="s">
        <v>34</v>
      </c>
      <c r="E268" t="s">
        <v>35</v>
      </c>
      <c r="F268" t="s">
        <v>36</v>
      </c>
      <c r="G268">
        <v>3</v>
      </c>
      <c r="H268" t="s">
        <v>833</v>
      </c>
      <c r="I268" t="s">
        <v>844</v>
      </c>
      <c r="J268" t="s">
        <v>845</v>
      </c>
      <c r="K268" t="s">
        <v>846</v>
      </c>
      <c r="L268" t="s">
        <v>1376</v>
      </c>
      <c r="M268">
        <v>4</v>
      </c>
      <c r="N268">
        <v>1</v>
      </c>
      <c r="O268" t="s">
        <v>852</v>
      </c>
      <c r="P268" t="s">
        <v>40</v>
      </c>
      <c r="Q268" t="s">
        <v>40</v>
      </c>
      <c r="R268" t="s">
        <v>836</v>
      </c>
      <c r="T268" t="s">
        <v>837</v>
      </c>
      <c r="U268" t="s">
        <v>118</v>
      </c>
      <c r="V268" t="s">
        <v>43</v>
      </c>
      <c r="W268" t="s">
        <v>43</v>
      </c>
      <c r="X268" t="s">
        <v>853</v>
      </c>
      <c r="Y268" s="4" t="s">
        <v>854</v>
      </c>
      <c r="Z268" t="s">
        <v>45</v>
      </c>
      <c r="AA268" t="s">
        <v>855</v>
      </c>
      <c r="AB268" t="s">
        <v>43</v>
      </c>
      <c r="AC268" t="s">
        <v>43</v>
      </c>
      <c r="AD268" t="s">
        <v>43</v>
      </c>
      <c r="AE268" t="s">
        <v>43</v>
      </c>
      <c r="AF268" t="str">
        <f>AA268</f>
        <v>Ilsfeld Rasen 1, Brückenstr. 28, 74360 Ilsfeld</v>
      </c>
      <c r="AG268" t="str">
        <f>TRIM(MID(AF268, FIND(", ", AF268)+2, FIND(", ", AF268, FIND(", ", AF268)+1) - FIND(", ", AF268) - 2))</f>
        <v>Brückenstr. 28</v>
      </c>
      <c r="AH268" t="str">
        <f>_xlfn.TEXTBEFORE(_xlfn.TEXTAFTER(AF268, ", ", 2), " ")</f>
        <v>74360</v>
      </c>
      <c r="AI268" t="str">
        <f>_xlfn.TEXTAFTER(_xlfn.TEXTAFTER(AF268, ", ", 2), " ")</f>
        <v>Ilsfeld</v>
      </c>
    </row>
    <row r="269" spans="1:35" x14ac:dyDescent="0.2">
      <c r="A269" t="str">
        <f>B269&amp;C269&amp;H269&amp;N269</f>
        <v>35000905Neckarsulmer Sport-UnionD-Junioren1</v>
      </c>
      <c r="B269" t="s">
        <v>97</v>
      </c>
      <c r="C269" t="s">
        <v>98</v>
      </c>
      <c r="D269" t="s">
        <v>34</v>
      </c>
      <c r="E269" t="s">
        <v>35</v>
      </c>
      <c r="F269" t="s">
        <v>36</v>
      </c>
      <c r="G269">
        <v>3</v>
      </c>
      <c r="H269" t="s">
        <v>833</v>
      </c>
      <c r="I269" t="s">
        <v>844</v>
      </c>
      <c r="J269" t="s">
        <v>845</v>
      </c>
      <c r="K269" t="s">
        <v>846</v>
      </c>
      <c r="L269" t="s">
        <v>1376</v>
      </c>
      <c r="M269">
        <v>5</v>
      </c>
      <c r="N269">
        <v>1</v>
      </c>
      <c r="O269" t="s">
        <v>621</v>
      </c>
      <c r="P269" t="s">
        <v>40</v>
      </c>
      <c r="Q269" t="s">
        <v>40</v>
      </c>
      <c r="R269" t="s">
        <v>836</v>
      </c>
      <c r="T269" t="s">
        <v>849</v>
      </c>
      <c r="U269" t="s">
        <v>118</v>
      </c>
      <c r="V269" t="s">
        <v>43</v>
      </c>
      <c r="W269" t="s">
        <v>43</v>
      </c>
      <c r="Y269" t="s">
        <v>43</v>
      </c>
      <c r="Z269" t="s">
        <v>45</v>
      </c>
      <c r="AA269" t="s">
        <v>100</v>
      </c>
      <c r="AB269" t="s">
        <v>43</v>
      </c>
      <c r="AC269" t="s">
        <v>43</v>
      </c>
      <c r="AD269" t="s">
        <v>43</v>
      </c>
      <c r="AE269" t="s">
        <v>43</v>
      </c>
      <c r="AF269" t="str">
        <f>AA269</f>
        <v>Neckarsulm Pichterich Kunstrasen, Pichterichstr. 71, 74172 Neckarsulm-Zentrum</v>
      </c>
      <c r="AG269" t="str">
        <f>TRIM(MID(AF269, FIND(", ", AF269)+2, FIND(", ", AF269, FIND(", ", AF269)+1) - FIND(", ", AF269) - 2))</f>
        <v>Pichterichstr. 71</v>
      </c>
      <c r="AH269" t="str">
        <f>_xlfn.TEXTBEFORE(_xlfn.TEXTAFTER(AF269, ", ", 2), " ")</f>
        <v>74172</v>
      </c>
      <c r="AI269" t="str">
        <f>_xlfn.TEXTAFTER(_xlfn.TEXTAFTER(AF269, ", ", 2), " ")</f>
        <v>Neckarsulm-Zentrum</v>
      </c>
    </row>
    <row r="270" spans="1:35" x14ac:dyDescent="0.2">
      <c r="A270" t="str">
        <f>B270&amp;C270&amp;H270&amp;N270</f>
        <v>35001178SV SülzbachD-Junioren1</v>
      </c>
      <c r="B270" t="s">
        <v>858</v>
      </c>
      <c r="C270" t="s">
        <v>859</v>
      </c>
      <c r="D270" t="s">
        <v>34</v>
      </c>
      <c r="E270" t="s">
        <v>35</v>
      </c>
      <c r="F270" t="s">
        <v>36</v>
      </c>
      <c r="G270">
        <v>3</v>
      </c>
      <c r="H270" t="s">
        <v>833</v>
      </c>
      <c r="I270" t="s">
        <v>844</v>
      </c>
      <c r="J270" t="s">
        <v>845</v>
      </c>
      <c r="K270" t="s">
        <v>846</v>
      </c>
      <c r="L270" t="s">
        <v>1376</v>
      </c>
      <c r="M270">
        <v>6</v>
      </c>
      <c r="N270">
        <v>1</v>
      </c>
      <c r="O270" t="s">
        <v>860</v>
      </c>
      <c r="P270" t="s">
        <v>40</v>
      </c>
      <c r="Q270" t="s">
        <v>53</v>
      </c>
      <c r="R270" t="s">
        <v>836</v>
      </c>
      <c r="T270" t="s">
        <v>837</v>
      </c>
      <c r="U270" t="s">
        <v>118</v>
      </c>
      <c r="V270" t="s">
        <v>43</v>
      </c>
      <c r="W270" t="s">
        <v>43</v>
      </c>
      <c r="X270" t="s">
        <v>861</v>
      </c>
      <c r="Y270" s="4" t="s">
        <v>862</v>
      </c>
      <c r="Z270" t="s">
        <v>45</v>
      </c>
      <c r="AA270" t="s">
        <v>863</v>
      </c>
      <c r="AB270" t="s">
        <v>43</v>
      </c>
      <c r="AC270" t="s">
        <v>43</v>
      </c>
      <c r="AD270" t="s">
        <v>43</v>
      </c>
      <c r="AE270" t="s">
        <v>43</v>
      </c>
      <c r="AF270" t="str">
        <f>AA270</f>
        <v>Ellhofen Rasen 1, Eulenbergstr. 60, 74248 Ellhofen-Zentrum</v>
      </c>
      <c r="AG270" t="str">
        <f>TRIM(MID(AF270, FIND(", ", AF270)+2, FIND(", ", AF270, FIND(", ", AF270)+1) - FIND(", ", AF270) - 2))</f>
        <v>Eulenbergstr. 60</v>
      </c>
      <c r="AH270" t="str">
        <f>_xlfn.TEXTBEFORE(_xlfn.TEXTAFTER(AF270, ", ", 2), " ")</f>
        <v>74248</v>
      </c>
      <c r="AI270" t="str">
        <f>_xlfn.TEXTAFTER(_xlfn.TEXTAFTER(AF270, ", ", 2), " ")</f>
        <v>Ellhofen-Zentrum</v>
      </c>
    </row>
    <row r="271" spans="1:35" x14ac:dyDescent="0.2">
      <c r="A271" t="str">
        <f>B271&amp;C271&amp;H271&amp;N271</f>
        <v>35001763FSV SchwaigernD-Junioren1</v>
      </c>
      <c r="B271" t="s">
        <v>630</v>
      </c>
      <c r="C271" t="s">
        <v>631</v>
      </c>
      <c r="D271" t="s">
        <v>34</v>
      </c>
      <c r="E271" t="s">
        <v>35</v>
      </c>
      <c r="F271" t="s">
        <v>36</v>
      </c>
      <c r="G271">
        <v>3</v>
      </c>
      <c r="H271" t="s">
        <v>833</v>
      </c>
      <c r="I271" t="s">
        <v>844</v>
      </c>
      <c r="J271" t="s">
        <v>845</v>
      </c>
      <c r="K271" t="s">
        <v>846</v>
      </c>
      <c r="L271" t="s">
        <v>1376</v>
      </c>
      <c r="M271">
        <v>10</v>
      </c>
      <c r="N271">
        <v>1</v>
      </c>
      <c r="O271" t="s">
        <v>847</v>
      </c>
      <c r="P271" t="s">
        <v>40</v>
      </c>
      <c r="Q271" t="s">
        <v>53</v>
      </c>
      <c r="R271" t="s">
        <v>836</v>
      </c>
      <c r="T271" t="s">
        <v>837</v>
      </c>
      <c r="U271" t="s">
        <v>118</v>
      </c>
      <c r="V271" t="s">
        <v>43</v>
      </c>
      <c r="W271" t="s">
        <v>43</v>
      </c>
      <c r="Y271" t="s">
        <v>43</v>
      </c>
      <c r="Z271" t="s">
        <v>45</v>
      </c>
      <c r="AA271" t="s">
        <v>848</v>
      </c>
      <c r="AB271" t="s">
        <v>43</v>
      </c>
      <c r="AC271" t="s">
        <v>43</v>
      </c>
      <c r="AD271" t="s">
        <v>43</v>
      </c>
      <c r="AE271" t="s">
        <v>43</v>
      </c>
      <c r="AF271" t="str">
        <f>AA271</f>
        <v>Schwaigern Rasen 2 (oberes Spielfeld), Falltorstr. 10, 74193 Schwaigern-Zentrum</v>
      </c>
      <c r="AG271" t="str">
        <f>TRIM(MID(AF271, FIND(", ", AF271)+2, FIND(", ", AF271, FIND(", ", AF271)+1) - FIND(", ", AF271) - 2))</f>
        <v>Falltorstr. 10</v>
      </c>
      <c r="AH271" t="str">
        <f>_xlfn.TEXTBEFORE(_xlfn.TEXTAFTER(AF271, ", ", 2), " ")</f>
        <v>74193</v>
      </c>
      <c r="AI271" t="str">
        <f>_xlfn.TEXTAFTER(_xlfn.TEXTAFTER(AF271, ", ", 2), " ")</f>
        <v>Schwaigern-Zentrum</v>
      </c>
    </row>
    <row r="272" spans="1:35" x14ac:dyDescent="0.2">
      <c r="A272" t="str">
        <f>B272&amp;C272&amp;H272&amp;N272</f>
        <v>35002198FC Union HeilbronnD-Junioren1</v>
      </c>
      <c r="B272" t="s">
        <v>85</v>
      </c>
      <c r="C272" t="s">
        <v>86</v>
      </c>
      <c r="D272" t="s">
        <v>34</v>
      </c>
      <c r="E272" t="s">
        <v>35</v>
      </c>
      <c r="F272" t="s">
        <v>36</v>
      </c>
      <c r="G272">
        <v>3</v>
      </c>
      <c r="H272" t="s">
        <v>833</v>
      </c>
      <c r="I272" t="s">
        <v>844</v>
      </c>
      <c r="J272" t="s">
        <v>845</v>
      </c>
      <c r="K272" t="s">
        <v>846</v>
      </c>
      <c r="L272" t="s">
        <v>1376</v>
      </c>
      <c r="M272">
        <v>2</v>
      </c>
      <c r="N272">
        <v>1</v>
      </c>
      <c r="O272" t="s">
        <v>359</v>
      </c>
      <c r="P272" t="s">
        <v>40</v>
      </c>
      <c r="Q272" t="s">
        <v>40</v>
      </c>
      <c r="R272" t="s">
        <v>836</v>
      </c>
      <c r="T272" t="s">
        <v>841</v>
      </c>
      <c r="U272" t="s">
        <v>118</v>
      </c>
      <c r="V272" t="s">
        <v>43</v>
      </c>
      <c r="W272" t="s">
        <v>43</v>
      </c>
      <c r="Y272" t="s">
        <v>864</v>
      </c>
      <c r="Z272" t="s">
        <v>45</v>
      </c>
      <c r="AA272" t="s">
        <v>89</v>
      </c>
      <c r="AB272" t="s">
        <v>43</v>
      </c>
      <c r="AC272" t="s">
        <v>43</v>
      </c>
      <c r="AD272" t="s">
        <v>43</v>
      </c>
      <c r="AE272" t="s">
        <v>43</v>
      </c>
      <c r="AF272" t="str">
        <f>AA272</f>
        <v>Böckingen (SC) Kunstrasen, Viehweide 5, 74080 Heilbronn-Böckingen</v>
      </c>
      <c r="AG272" t="str">
        <f>TRIM(MID(AF272, FIND(", ", AF272)+2, FIND(", ", AF272, FIND(", ", AF272)+1) - FIND(", ", AF272) - 2))</f>
        <v>Viehweide 5</v>
      </c>
      <c r="AH272" t="str">
        <f>_xlfn.TEXTBEFORE(_xlfn.TEXTAFTER(AF272, ", ", 2), " ")</f>
        <v>74080</v>
      </c>
      <c r="AI272" t="str">
        <f>_xlfn.TEXTAFTER(_xlfn.TEXTAFTER(AF272, ", ", 2), " ")</f>
        <v>Heilbronn-Böckingen</v>
      </c>
    </row>
    <row r="273" spans="1:35" x14ac:dyDescent="0.2">
      <c r="A273" t="str">
        <f>B273&amp;C273&amp;H273&amp;N273</f>
        <v>35002312VfR Heilbronn 96/18D-Junioren2</v>
      </c>
      <c r="B273" t="s">
        <v>32</v>
      </c>
      <c r="C273" t="s">
        <v>33</v>
      </c>
      <c r="D273" t="s">
        <v>34</v>
      </c>
      <c r="E273" t="s">
        <v>35</v>
      </c>
      <c r="F273" t="s">
        <v>36</v>
      </c>
      <c r="G273">
        <v>3</v>
      </c>
      <c r="H273" t="s">
        <v>833</v>
      </c>
      <c r="I273" t="s">
        <v>844</v>
      </c>
      <c r="J273" t="s">
        <v>845</v>
      </c>
      <c r="K273" t="s">
        <v>846</v>
      </c>
      <c r="L273" t="s">
        <v>1376</v>
      </c>
      <c r="M273">
        <v>3</v>
      </c>
      <c r="N273">
        <v>2</v>
      </c>
      <c r="O273" t="s">
        <v>360</v>
      </c>
      <c r="P273" t="s">
        <v>40</v>
      </c>
      <c r="Q273" t="s">
        <v>40</v>
      </c>
      <c r="R273" t="s">
        <v>836</v>
      </c>
      <c r="T273" t="s">
        <v>837</v>
      </c>
      <c r="U273" t="s">
        <v>118</v>
      </c>
      <c r="V273" t="s">
        <v>43</v>
      </c>
      <c r="W273" t="s">
        <v>43</v>
      </c>
      <c r="Y273" t="s">
        <v>870</v>
      </c>
      <c r="Z273" t="s">
        <v>45</v>
      </c>
      <c r="AA273" t="s">
        <v>871</v>
      </c>
      <c r="AB273" t="s">
        <v>43</v>
      </c>
      <c r="AC273" t="s">
        <v>43</v>
      </c>
      <c r="AD273" t="s">
        <v>43</v>
      </c>
      <c r="AE273" t="s">
        <v>43</v>
      </c>
      <c r="AF273" t="str">
        <f>AA273</f>
        <v>Heilbronn Frankenstadion Rasen 2 (Nebenplatz), Badstr. 100, 74072 Heilbronn-Zentrum</v>
      </c>
      <c r="AG273" t="str">
        <f>TRIM(MID(AF273, FIND(", ", AF273)+2, FIND(", ", AF273, FIND(", ", AF273)+1) - FIND(", ", AF273) - 2))</f>
        <v>Badstr. 100</v>
      </c>
      <c r="AH273" t="str">
        <f>_xlfn.TEXTBEFORE(_xlfn.TEXTAFTER(AF273, ", ", 2), " ")</f>
        <v>74072</v>
      </c>
      <c r="AI273" t="str">
        <f>_xlfn.TEXTAFTER(_xlfn.TEXTAFTER(AF273, ", ", 2), " ")</f>
        <v>Heilbronn-Zentrum</v>
      </c>
    </row>
    <row r="274" spans="1:35" x14ac:dyDescent="0.2">
      <c r="A274" t="str">
        <f>B274&amp;C274&amp;H274&amp;N274</f>
        <v>35001000Spvgg OedheimD-Junioren1</v>
      </c>
      <c r="B274" t="s">
        <v>381</v>
      </c>
      <c r="C274" t="s">
        <v>382</v>
      </c>
      <c r="D274" t="s">
        <v>77</v>
      </c>
      <c r="E274" t="s">
        <v>35</v>
      </c>
      <c r="F274" t="s">
        <v>36</v>
      </c>
      <c r="G274">
        <v>3</v>
      </c>
      <c r="H274" t="s">
        <v>833</v>
      </c>
      <c r="I274" t="s">
        <v>844</v>
      </c>
      <c r="J274" t="s">
        <v>845</v>
      </c>
      <c r="K274" t="s">
        <v>846</v>
      </c>
      <c r="L274" t="s">
        <v>1376</v>
      </c>
      <c r="M274">
        <v>8</v>
      </c>
      <c r="N274">
        <v>1</v>
      </c>
      <c r="O274" t="s">
        <v>856</v>
      </c>
      <c r="P274" t="s">
        <v>40</v>
      </c>
      <c r="Q274" t="s">
        <v>53</v>
      </c>
      <c r="R274" t="s">
        <v>836</v>
      </c>
      <c r="T274" t="s">
        <v>837</v>
      </c>
      <c r="U274" t="s">
        <v>118</v>
      </c>
      <c r="V274" t="s">
        <v>43</v>
      </c>
      <c r="W274" t="s">
        <v>43</v>
      </c>
      <c r="Y274" t="s">
        <v>43</v>
      </c>
      <c r="Z274" t="s">
        <v>45</v>
      </c>
      <c r="AA274" t="s">
        <v>857</v>
      </c>
      <c r="AB274" t="s">
        <v>43</v>
      </c>
      <c r="AC274" t="s">
        <v>43</v>
      </c>
      <c r="AD274" t="s">
        <v>43</v>
      </c>
      <c r="AE274" t="s">
        <v>43</v>
      </c>
      <c r="AF274" t="str">
        <f>AA274</f>
        <v>Oedheim Kunstrasen, Mörikestr. 37, 74229 Oedheim</v>
      </c>
      <c r="AG274" t="str">
        <f>TRIM(MID(AF274, FIND(", ", AF274)+2, FIND(", ", AF274, FIND(", ", AF274)+1) - FIND(", ", AF274) - 2))</f>
        <v>Mörikestr. 37</v>
      </c>
      <c r="AH274" t="str">
        <f>_xlfn.TEXTBEFORE(_xlfn.TEXTAFTER(AF274, ", ", 2), " ")</f>
        <v>74229</v>
      </c>
      <c r="AI274" t="str">
        <f>_xlfn.TEXTAFTER(_xlfn.TEXTAFTER(AF274, ", ", 2), " ")</f>
        <v>Oedheim</v>
      </c>
    </row>
    <row r="275" spans="1:35" x14ac:dyDescent="0.2">
      <c r="A275" t="str">
        <f>B275&amp;C275&amp;H275&amp;N275</f>
        <v>35001521SG Bad WimpfenD-Junioren1</v>
      </c>
      <c r="B275" t="s">
        <v>120</v>
      </c>
      <c r="C275" t="s">
        <v>121</v>
      </c>
      <c r="D275" t="s">
        <v>77</v>
      </c>
      <c r="E275" t="s">
        <v>35</v>
      </c>
      <c r="F275" t="s">
        <v>36</v>
      </c>
      <c r="G275">
        <v>3</v>
      </c>
      <c r="H275" t="s">
        <v>833</v>
      </c>
      <c r="I275" t="s">
        <v>844</v>
      </c>
      <c r="J275" t="s">
        <v>845</v>
      </c>
      <c r="K275" t="s">
        <v>846</v>
      </c>
      <c r="L275" t="s">
        <v>1376</v>
      </c>
      <c r="M275">
        <v>9</v>
      </c>
      <c r="N275">
        <v>1</v>
      </c>
      <c r="O275" t="s">
        <v>374</v>
      </c>
      <c r="P275" t="s">
        <v>40</v>
      </c>
      <c r="Q275" t="s">
        <v>40</v>
      </c>
      <c r="R275" t="s">
        <v>836</v>
      </c>
      <c r="T275" t="s">
        <v>849</v>
      </c>
      <c r="U275" t="s">
        <v>118</v>
      </c>
      <c r="V275" t="s">
        <v>43</v>
      </c>
      <c r="W275" t="s">
        <v>43</v>
      </c>
      <c r="X275" t="s">
        <v>850</v>
      </c>
      <c r="Y275" s="4" t="s">
        <v>851</v>
      </c>
      <c r="Z275" t="s">
        <v>45</v>
      </c>
      <c r="AA275" t="s">
        <v>122</v>
      </c>
      <c r="AB275" t="s">
        <v>43</v>
      </c>
      <c r="AC275" t="s">
        <v>43</v>
      </c>
      <c r="AD275" t="s">
        <v>43</v>
      </c>
      <c r="AE275" t="s">
        <v>43</v>
      </c>
      <c r="AF275" t="str">
        <f>AA275</f>
        <v>Bad Wimpfen Kunstrasen, Erich-Sailer-Str. 59, 74206 Bad Wimpfen-Zentrum</v>
      </c>
      <c r="AG275" t="str">
        <f>TRIM(MID(AF275, FIND(", ", AF275)+2, FIND(", ", AF275, FIND(", ", AF275)+1) - FIND(", ", AF275) - 2))</f>
        <v>Erich-Sailer-Str. 59</v>
      </c>
      <c r="AH275" t="str">
        <f>_xlfn.TEXTBEFORE(_xlfn.TEXTAFTER(AF275, ", ", 2), " ")</f>
        <v>74206</v>
      </c>
      <c r="AI275" t="str">
        <f>_xlfn.TEXTAFTER(_xlfn.TEXTAFTER(AF275, ", ", 2), " ")</f>
        <v>Bad Wimpfen-Zentrum</v>
      </c>
    </row>
    <row r="276" spans="1:35" x14ac:dyDescent="0.2">
      <c r="A276" t="str">
        <f>B276&amp;C276&amp;H276&amp;N276</f>
        <v>35001002TSG ÖhringenD-Junioren1</v>
      </c>
      <c r="B276" t="s">
        <v>64</v>
      </c>
      <c r="C276" t="s">
        <v>65</v>
      </c>
      <c r="D276" t="s">
        <v>66</v>
      </c>
      <c r="E276" t="s">
        <v>35</v>
      </c>
      <c r="F276" t="s">
        <v>50</v>
      </c>
      <c r="G276">
        <v>3</v>
      </c>
      <c r="H276" t="s">
        <v>833</v>
      </c>
      <c r="I276" t="s">
        <v>844</v>
      </c>
      <c r="J276" t="s">
        <v>845</v>
      </c>
      <c r="K276" t="s">
        <v>874</v>
      </c>
      <c r="L276" t="s">
        <v>1377</v>
      </c>
      <c r="M276">
        <v>2</v>
      </c>
      <c r="N276">
        <v>1</v>
      </c>
      <c r="O276" t="s">
        <v>893</v>
      </c>
      <c r="P276" t="s">
        <v>40</v>
      </c>
      <c r="Q276" t="s">
        <v>40</v>
      </c>
      <c r="R276" t="s">
        <v>836</v>
      </c>
      <c r="T276" t="s">
        <v>837</v>
      </c>
      <c r="U276" t="s">
        <v>118</v>
      </c>
      <c r="V276" t="s">
        <v>43</v>
      </c>
      <c r="W276" t="s">
        <v>43</v>
      </c>
      <c r="Y276" t="s">
        <v>43</v>
      </c>
      <c r="Z276" t="s">
        <v>45</v>
      </c>
      <c r="AA276" t="s">
        <v>67</v>
      </c>
      <c r="AB276" t="s">
        <v>43</v>
      </c>
      <c r="AC276" t="s">
        <v>43</v>
      </c>
      <c r="AD276" t="s">
        <v>43</v>
      </c>
      <c r="AE276" t="s">
        <v>43</v>
      </c>
      <c r="AF276" t="str">
        <f>AA276</f>
        <v>Kunstrasenplatz TSG Öhringen, Pfaffenmühlweg 44, 74613 Öhringen-Zentrum</v>
      </c>
      <c r="AG276" t="str">
        <f>TRIM(MID(AF276, FIND(", ", AF276)+2, FIND(", ", AF276, FIND(", ", AF276)+1) - FIND(", ", AF276) - 2))</f>
        <v>Pfaffenmühlweg 44</v>
      </c>
      <c r="AH276" t="str">
        <f>_xlfn.TEXTBEFORE(_xlfn.TEXTAFTER(AF276, ", ", 2), " ")</f>
        <v>74613</v>
      </c>
      <c r="AI276" t="str">
        <f>_xlfn.TEXTAFTER(_xlfn.TEXTAFTER(AF276, ", ", 2), " ")</f>
        <v>Öhringen-Zentrum</v>
      </c>
    </row>
    <row r="277" spans="1:35" x14ac:dyDescent="0.2">
      <c r="A277" t="str">
        <f>B277&amp;C277&amp;H277&amp;N277</f>
        <v>35001020TSV OhrnbergD-Junioren1</v>
      </c>
      <c r="B277" t="s">
        <v>549</v>
      </c>
      <c r="C277" t="s">
        <v>550</v>
      </c>
      <c r="D277" t="s">
        <v>66</v>
      </c>
      <c r="E277" t="s">
        <v>35</v>
      </c>
      <c r="F277" t="s">
        <v>50</v>
      </c>
      <c r="G277">
        <v>3</v>
      </c>
      <c r="H277" t="s">
        <v>833</v>
      </c>
      <c r="I277" t="s">
        <v>844</v>
      </c>
      <c r="J277" t="s">
        <v>845</v>
      </c>
      <c r="K277" t="s">
        <v>874</v>
      </c>
      <c r="L277" t="s">
        <v>1377</v>
      </c>
      <c r="M277">
        <v>3</v>
      </c>
      <c r="N277">
        <v>1</v>
      </c>
      <c r="O277" t="s">
        <v>883</v>
      </c>
      <c r="P277" t="s">
        <v>40</v>
      </c>
      <c r="Q277" t="s">
        <v>53</v>
      </c>
      <c r="R277" t="s">
        <v>836</v>
      </c>
      <c r="T277" t="s">
        <v>837</v>
      </c>
      <c r="U277" t="s">
        <v>118</v>
      </c>
      <c r="V277" t="s">
        <v>43</v>
      </c>
      <c r="W277" t="s">
        <v>43</v>
      </c>
      <c r="X277" t="s">
        <v>884</v>
      </c>
      <c r="Y277" s="4" t="s">
        <v>885</v>
      </c>
      <c r="Z277" t="s">
        <v>45</v>
      </c>
      <c r="AA277" t="s">
        <v>552</v>
      </c>
      <c r="AB277" t="s">
        <v>43</v>
      </c>
      <c r="AC277" t="s">
        <v>43</v>
      </c>
      <c r="AD277" t="s">
        <v>43</v>
      </c>
      <c r="AE277" t="s">
        <v>43</v>
      </c>
      <c r="AF277" t="str">
        <f>AA277</f>
        <v>Kochertalstadion Ohrnberg, Seehäldenweg 12, 74613 Ohrnberg-Ohrnberg</v>
      </c>
      <c r="AG277" t="str">
        <f>TRIM(MID(AF277, FIND(", ", AF277)+2, FIND(", ", AF277, FIND(", ", AF277)+1) - FIND(", ", AF277) - 2))</f>
        <v>Seehäldenweg 12</v>
      </c>
      <c r="AH277" t="str">
        <f>_xlfn.TEXTBEFORE(_xlfn.TEXTAFTER(AF277, ", ", 2), " ")</f>
        <v>74613</v>
      </c>
      <c r="AI277" t="str">
        <f>_xlfn.TEXTAFTER(_xlfn.TEXTAFTER(AF277, ", ", 2), " ")</f>
        <v>Ohrnberg-Ohrnberg</v>
      </c>
    </row>
    <row r="278" spans="1:35" x14ac:dyDescent="0.2">
      <c r="A278" t="str">
        <f>B278&amp;C278&amp;H278&amp;N278</f>
        <v>35001449TSV WaldbachD-Junioren1</v>
      </c>
      <c r="B278" t="s">
        <v>886</v>
      </c>
      <c r="C278" t="s">
        <v>887</v>
      </c>
      <c r="D278" t="s">
        <v>66</v>
      </c>
      <c r="E278" t="s">
        <v>35</v>
      </c>
      <c r="F278" t="s">
        <v>50</v>
      </c>
      <c r="G278">
        <v>3</v>
      </c>
      <c r="H278" t="s">
        <v>833</v>
      </c>
      <c r="I278" t="s">
        <v>844</v>
      </c>
      <c r="J278" t="s">
        <v>845</v>
      </c>
      <c r="K278" t="s">
        <v>874</v>
      </c>
      <c r="L278" t="s">
        <v>1377</v>
      </c>
      <c r="M278">
        <v>4</v>
      </c>
      <c r="N278">
        <v>1</v>
      </c>
      <c r="O278" t="s">
        <v>888</v>
      </c>
      <c r="P278" t="s">
        <v>40</v>
      </c>
      <c r="Q278" t="s">
        <v>40</v>
      </c>
      <c r="R278" t="s">
        <v>836</v>
      </c>
      <c r="T278" t="s">
        <v>837</v>
      </c>
      <c r="U278" t="s">
        <v>118</v>
      </c>
      <c r="V278" t="s">
        <v>43</v>
      </c>
      <c r="W278" t="s">
        <v>43</v>
      </c>
      <c r="X278" t="s">
        <v>884</v>
      </c>
      <c r="Y278" s="4" t="s">
        <v>889</v>
      </c>
      <c r="Z278" t="s">
        <v>45</v>
      </c>
      <c r="AA278" t="s">
        <v>890</v>
      </c>
      <c r="AB278" t="s">
        <v>43</v>
      </c>
      <c r="AC278" t="s">
        <v>43</v>
      </c>
      <c r="AD278" t="s">
        <v>43</v>
      </c>
      <c r="AE278" t="s">
        <v>43</v>
      </c>
      <c r="AF278" t="str">
        <f>AA278</f>
        <v>Sportplatz 1 Waldbach, Sportplatzweg, 74626 Bretzfeld-Waldbach</v>
      </c>
      <c r="AG278" t="str">
        <f>TRIM(MID(AF278, FIND(", ", AF278)+2, FIND(", ", AF278, FIND(", ", AF278)+1) - FIND(", ", AF278) - 2))</f>
        <v>Sportplatzweg</v>
      </c>
      <c r="AH278" t="str">
        <f>_xlfn.TEXTBEFORE(_xlfn.TEXTAFTER(AF278, ", ", 2), " ")</f>
        <v>74626</v>
      </c>
      <c r="AI278" t="str">
        <f>_xlfn.TEXTAFTER(_xlfn.TEXTAFTER(AF278, ", ", 2), " ")</f>
        <v>Bretzfeld-Waldbach</v>
      </c>
    </row>
    <row r="279" spans="1:35" x14ac:dyDescent="0.2">
      <c r="A279" t="str">
        <f>B279&amp;C279&amp;H279&amp;N279</f>
        <v>35000443SSV GaisbachD-Junioren1</v>
      </c>
      <c r="B279" t="s">
        <v>617</v>
      </c>
      <c r="C279" t="s">
        <v>618</v>
      </c>
      <c r="D279" t="s">
        <v>49</v>
      </c>
      <c r="E279" t="s">
        <v>35</v>
      </c>
      <c r="F279" t="s">
        <v>50</v>
      </c>
      <c r="G279">
        <v>3</v>
      </c>
      <c r="H279" t="s">
        <v>833</v>
      </c>
      <c r="I279" t="s">
        <v>844</v>
      </c>
      <c r="J279" t="s">
        <v>845</v>
      </c>
      <c r="K279" t="s">
        <v>874</v>
      </c>
      <c r="L279" t="s">
        <v>1377</v>
      </c>
      <c r="M279">
        <v>5</v>
      </c>
      <c r="N279">
        <v>1</v>
      </c>
      <c r="O279" t="s">
        <v>878</v>
      </c>
      <c r="P279" t="s">
        <v>40</v>
      </c>
      <c r="Q279" t="s">
        <v>53</v>
      </c>
      <c r="R279" t="s">
        <v>836</v>
      </c>
      <c r="T279" t="s">
        <v>837</v>
      </c>
      <c r="U279" t="s">
        <v>118</v>
      </c>
      <c r="V279" t="s">
        <v>43</v>
      </c>
      <c r="W279" t="s">
        <v>43</v>
      </c>
      <c r="Y279" t="s">
        <v>43</v>
      </c>
      <c r="Z279" t="s">
        <v>45</v>
      </c>
      <c r="AA279" t="s">
        <v>193</v>
      </c>
      <c r="AB279" t="s">
        <v>43</v>
      </c>
      <c r="AC279" t="s">
        <v>43</v>
      </c>
      <c r="AD279" t="s">
        <v>43</v>
      </c>
      <c r="AE279" t="s">
        <v>43</v>
      </c>
      <c r="AF279" t="str">
        <f>AA279</f>
        <v>Kunstrasenplatz SSV Gaisbach, Ballenwasen 4, 74653 Künzelsau-Gaisbach</v>
      </c>
      <c r="AG279" t="str">
        <f>TRIM(MID(AF279, FIND(", ", AF279)+2, FIND(", ", AF279, FIND(", ", AF279)+1) - FIND(", ", AF279) - 2))</f>
        <v>Ballenwasen 4</v>
      </c>
      <c r="AH279" t="str">
        <f>_xlfn.TEXTBEFORE(_xlfn.TEXTAFTER(AF279, ", ", 2), " ")</f>
        <v>74653</v>
      </c>
      <c r="AI279" t="str">
        <f>_xlfn.TEXTAFTER(_xlfn.TEXTAFTER(AF279, ", ", 2), " ")</f>
        <v>Künzelsau-Gaisbach</v>
      </c>
    </row>
    <row r="280" spans="1:35" x14ac:dyDescent="0.2">
      <c r="A280" t="str">
        <f>B280&amp;C280&amp;H280&amp;N280</f>
        <v>35001712TSV KrautheimD-Junioren1</v>
      </c>
      <c r="B280" t="s">
        <v>872</v>
      </c>
      <c r="C280" t="s">
        <v>873</v>
      </c>
      <c r="D280" t="s">
        <v>49</v>
      </c>
      <c r="E280" t="s">
        <v>35</v>
      </c>
      <c r="F280" t="s">
        <v>50</v>
      </c>
      <c r="G280">
        <v>3</v>
      </c>
      <c r="H280" t="s">
        <v>833</v>
      </c>
      <c r="I280" t="s">
        <v>844</v>
      </c>
      <c r="J280" t="s">
        <v>845</v>
      </c>
      <c r="K280" t="s">
        <v>874</v>
      </c>
      <c r="L280" t="s">
        <v>1377</v>
      </c>
      <c r="M280">
        <v>7</v>
      </c>
      <c r="N280">
        <v>1</v>
      </c>
      <c r="O280" t="s">
        <v>875</v>
      </c>
      <c r="P280" t="s">
        <v>40</v>
      </c>
      <c r="Q280" t="s">
        <v>40</v>
      </c>
      <c r="R280" t="s">
        <v>836</v>
      </c>
      <c r="T280" t="s">
        <v>849</v>
      </c>
      <c r="U280" t="s">
        <v>118</v>
      </c>
      <c r="V280" t="s">
        <v>43</v>
      </c>
      <c r="W280" t="s">
        <v>43</v>
      </c>
      <c r="Y280" t="s">
        <v>876</v>
      </c>
      <c r="Z280" t="s">
        <v>45</v>
      </c>
      <c r="AA280" t="s">
        <v>877</v>
      </c>
      <c r="AB280" t="s">
        <v>43</v>
      </c>
      <c r="AC280" t="s">
        <v>43</v>
      </c>
      <c r="AD280" t="s">
        <v>43</v>
      </c>
      <c r="AE280" t="s">
        <v>43</v>
      </c>
      <c r="AF280" t="str">
        <f>AA280</f>
        <v>TSV Krautheim, Schulstr. 11, 74238 Krautheim-Zentrum</v>
      </c>
      <c r="AG280" t="str">
        <f>TRIM(MID(AF280, FIND(", ", AF280)+2, FIND(", ", AF280, FIND(", ", AF280)+1) - FIND(", ", AF280) - 2))</f>
        <v>Schulstr. 11</v>
      </c>
      <c r="AH280" t="str">
        <f>_xlfn.TEXTBEFORE(_xlfn.TEXTAFTER(AF280, ", ", 2), " ")</f>
        <v>74238</v>
      </c>
      <c r="AI280" t="str">
        <f>_xlfn.TEXTAFTER(_xlfn.TEXTAFTER(AF280, ", ", 2), " ")</f>
        <v>Krautheim-Zentrum</v>
      </c>
    </row>
    <row r="281" spans="1:35" x14ac:dyDescent="0.2">
      <c r="A281" t="str">
        <f>B281&amp;C281&amp;H281&amp;N281</f>
        <v>35000946TV NiederstettenD-Junioren1</v>
      </c>
      <c r="B281" t="s">
        <v>329</v>
      </c>
      <c r="C281" t="s">
        <v>330</v>
      </c>
      <c r="D281" t="s">
        <v>204</v>
      </c>
      <c r="E281" t="s">
        <v>35</v>
      </c>
      <c r="F281" t="s">
        <v>50</v>
      </c>
      <c r="G281">
        <v>3</v>
      </c>
      <c r="H281" t="s">
        <v>833</v>
      </c>
      <c r="I281" t="s">
        <v>844</v>
      </c>
      <c r="J281" t="s">
        <v>845</v>
      </c>
      <c r="K281" t="s">
        <v>874</v>
      </c>
      <c r="L281" t="s">
        <v>1377</v>
      </c>
      <c r="M281">
        <v>8</v>
      </c>
      <c r="N281">
        <v>1</v>
      </c>
      <c r="O281" t="s">
        <v>894</v>
      </c>
      <c r="P281" t="s">
        <v>40</v>
      </c>
      <c r="Q281" t="s">
        <v>53</v>
      </c>
      <c r="R281" t="s">
        <v>836</v>
      </c>
      <c r="T281" t="s">
        <v>837</v>
      </c>
      <c r="U281" t="s">
        <v>118</v>
      </c>
      <c r="V281" t="s">
        <v>43</v>
      </c>
      <c r="W281" t="s">
        <v>43</v>
      </c>
      <c r="Y281" t="s">
        <v>43</v>
      </c>
      <c r="Z281" t="s">
        <v>45</v>
      </c>
      <c r="AA281" t="s">
        <v>333</v>
      </c>
      <c r="AB281" t="s">
        <v>43</v>
      </c>
      <c r="AC281" t="s">
        <v>43</v>
      </c>
      <c r="AD281" t="s">
        <v>43</v>
      </c>
      <c r="AE281" t="s">
        <v>43</v>
      </c>
      <c r="AF281" t="str">
        <f>AA281</f>
        <v>Burgwiesenstadion, Kanalweg, 97996 Niederstetten-Zentrum</v>
      </c>
      <c r="AG281" t="str">
        <f>TRIM(MID(AF281, FIND(", ", AF281)+2, FIND(", ", AF281, FIND(", ", AF281)+1) - FIND(", ", AF281) - 2))</f>
        <v>Kanalweg</v>
      </c>
      <c r="AH281" t="str">
        <f>_xlfn.TEXTBEFORE(_xlfn.TEXTAFTER(AF281, ", ", 2), " ")</f>
        <v>97996</v>
      </c>
      <c r="AI281" t="str">
        <f>_xlfn.TEXTAFTER(_xlfn.TEXTAFTER(AF281, ", ", 2), " ")</f>
        <v>Niederstetten-Zentrum</v>
      </c>
    </row>
    <row r="282" spans="1:35" x14ac:dyDescent="0.2">
      <c r="A282" t="str">
        <f>B282&amp;C282&amp;H282&amp;N282</f>
        <v>35001353FC Taubertal-TauberrettersheimD-Junioren1</v>
      </c>
      <c r="B282" t="s">
        <v>879</v>
      </c>
      <c r="C282" t="s">
        <v>880</v>
      </c>
      <c r="D282" t="s">
        <v>204</v>
      </c>
      <c r="E282" t="s">
        <v>35</v>
      </c>
      <c r="F282" t="s">
        <v>50</v>
      </c>
      <c r="G282">
        <v>3</v>
      </c>
      <c r="H282" t="s">
        <v>833</v>
      </c>
      <c r="I282" t="s">
        <v>844</v>
      </c>
      <c r="J282" t="s">
        <v>845</v>
      </c>
      <c r="K282" t="s">
        <v>874</v>
      </c>
      <c r="L282" t="s">
        <v>1377</v>
      </c>
      <c r="M282">
        <v>6</v>
      </c>
      <c r="N282">
        <v>1</v>
      </c>
      <c r="O282" t="s">
        <v>881</v>
      </c>
      <c r="P282" t="s">
        <v>40</v>
      </c>
      <c r="Q282" t="s">
        <v>40</v>
      </c>
      <c r="R282" t="s">
        <v>836</v>
      </c>
      <c r="T282" t="s">
        <v>837</v>
      </c>
      <c r="U282" t="s">
        <v>118</v>
      </c>
      <c r="V282" t="s">
        <v>43</v>
      </c>
      <c r="W282" t="s">
        <v>43</v>
      </c>
      <c r="Y282" t="s">
        <v>43</v>
      </c>
      <c r="Z282" t="s">
        <v>45</v>
      </c>
      <c r="AA282" t="s">
        <v>882</v>
      </c>
      <c r="AB282" t="s">
        <v>43</v>
      </c>
      <c r="AC282" t="s">
        <v>43</v>
      </c>
      <c r="AD282" t="s">
        <v>43</v>
      </c>
      <c r="AE282" t="s">
        <v>43</v>
      </c>
      <c r="AF282" t="str">
        <f>AA282</f>
        <v>Sportplatz 1 FC Taubertal, Tauberstraße 22, 97285 Taubertal-Tauberrettersheim</v>
      </c>
      <c r="AG282" t="str">
        <f>TRIM(MID(AF282, FIND(", ", AF282)+2, FIND(", ", AF282, FIND(", ", AF282)+1) - FIND(", ", AF282) - 2))</f>
        <v>Tauberstraße 22</v>
      </c>
      <c r="AH282" t="str">
        <f>_xlfn.TEXTBEFORE(_xlfn.TEXTAFTER(AF282, ", ", 2), " ")</f>
        <v>97285</v>
      </c>
      <c r="AI282" t="str">
        <f>_xlfn.TEXTAFTER(_xlfn.TEXTAFTER(AF282, ", ", 2), " ")</f>
        <v>Taubertal-Tauberrettersheim</v>
      </c>
    </row>
    <row r="283" spans="1:35" x14ac:dyDescent="0.2">
      <c r="A283" t="str">
        <f>B283&amp;C283&amp;H283&amp;N283</f>
        <v>35001478TSV WeikersheimD-Junioren1</v>
      </c>
      <c r="B283" t="s">
        <v>325</v>
      </c>
      <c r="C283" t="s">
        <v>326</v>
      </c>
      <c r="D283" t="s">
        <v>204</v>
      </c>
      <c r="E283" t="s">
        <v>35</v>
      </c>
      <c r="F283" t="s">
        <v>50</v>
      </c>
      <c r="G283">
        <v>3</v>
      </c>
      <c r="H283" t="s">
        <v>833</v>
      </c>
      <c r="I283" t="s">
        <v>844</v>
      </c>
      <c r="J283" t="s">
        <v>845</v>
      </c>
      <c r="K283" t="s">
        <v>874</v>
      </c>
      <c r="L283" t="s">
        <v>1377</v>
      </c>
      <c r="M283">
        <v>1</v>
      </c>
      <c r="N283">
        <v>1</v>
      </c>
      <c r="O283" t="s">
        <v>891</v>
      </c>
      <c r="P283" t="s">
        <v>40</v>
      </c>
      <c r="Q283" t="s">
        <v>53</v>
      </c>
      <c r="R283" t="s">
        <v>836</v>
      </c>
      <c r="T283" t="s">
        <v>837</v>
      </c>
      <c r="U283" t="s">
        <v>118</v>
      </c>
      <c r="V283" t="s">
        <v>43</v>
      </c>
      <c r="W283" t="s">
        <v>43</v>
      </c>
      <c r="Y283" t="s">
        <v>43</v>
      </c>
      <c r="Z283" t="s">
        <v>45</v>
      </c>
      <c r="AA283" t="s">
        <v>892</v>
      </c>
      <c r="AB283" t="s">
        <v>43</v>
      </c>
      <c r="AC283" t="s">
        <v>43</v>
      </c>
      <c r="AD283" t="s">
        <v>43</v>
      </c>
      <c r="AE283" t="s">
        <v>43</v>
      </c>
      <c r="AF283" t="str">
        <f>AA283</f>
        <v>Sportplatz 2 TSV Weikersheim, August-Laukhuff-Str., 97990 Weikersheim-Zentrum</v>
      </c>
      <c r="AG283" t="str">
        <f>TRIM(MID(AF283, FIND(", ", AF283)+2, FIND(", ", AF283, FIND(", ", AF283)+1) - FIND(", ", AF283) - 2))</f>
        <v>August-Laukhuff-Str.</v>
      </c>
      <c r="AH283" t="str">
        <f>_xlfn.TEXTBEFORE(_xlfn.TEXTAFTER(AF283, ", ", 2), " ")</f>
        <v>97990</v>
      </c>
      <c r="AI283" t="str">
        <f>_xlfn.TEXTAFTER(_xlfn.TEXTAFTER(AF283, ", ", 2), " ")</f>
        <v>Weikersheim-Zentrum</v>
      </c>
    </row>
    <row r="284" spans="1:35" x14ac:dyDescent="0.2">
      <c r="A284" t="str">
        <f>B284&amp;C284&amp;H284&amp;N284</f>
        <v>350006591. FC IgersheimD-Junioren1</v>
      </c>
      <c r="B284" t="s">
        <v>408</v>
      </c>
      <c r="C284" t="s">
        <v>409</v>
      </c>
      <c r="D284" t="s">
        <v>204</v>
      </c>
      <c r="E284" t="s">
        <v>35</v>
      </c>
      <c r="F284" t="s">
        <v>50</v>
      </c>
      <c r="G284">
        <v>3</v>
      </c>
      <c r="H284" t="s">
        <v>833</v>
      </c>
      <c r="I284" t="s">
        <v>844</v>
      </c>
      <c r="J284" t="s">
        <v>897</v>
      </c>
      <c r="K284" t="s">
        <v>966</v>
      </c>
      <c r="L284" t="s">
        <v>1391</v>
      </c>
      <c r="M284">
        <v>1</v>
      </c>
      <c r="N284">
        <v>1</v>
      </c>
      <c r="O284" t="s">
        <v>409</v>
      </c>
      <c r="P284" t="s">
        <v>40</v>
      </c>
      <c r="Q284" t="s">
        <v>53</v>
      </c>
      <c r="R284" t="s">
        <v>836</v>
      </c>
      <c r="T284" t="s">
        <v>837</v>
      </c>
      <c r="U284" t="s">
        <v>118</v>
      </c>
      <c r="V284" t="s">
        <v>43</v>
      </c>
      <c r="W284" t="s">
        <v>43</v>
      </c>
      <c r="Y284" t="s">
        <v>43</v>
      </c>
      <c r="Z284" t="s">
        <v>45</v>
      </c>
      <c r="AA284" t="s">
        <v>206</v>
      </c>
      <c r="AB284" t="s">
        <v>43</v>
      </c>
      <c r="AC284" t="s">
        <v>43</v>
      </c>
      <c r="AD284" t="s">
        <v>43</v>
      </c>
      <c r="AE284" t="s">
        <v>43</v>
      </c>
      <c r="AF284" t="str">
        <f>AA284</f>
        <v>Sportplatz an der Erlenbachtalhalle Igersheim, Erlenbachtalstr., 97999 Igersheim-Zentrum</v>
      </c>
      <c r="AG284" t="str">
        <f>TRIM(MID(AF284, FIND(", ", AF284)+2, FIND(", ", AF284, FIND(", ", AF284)+1) - FIND(", ", AF284) - 2))</f>
        <v>Erlenbachtalstr.</v>
      </c>
      <c r="AH284" t="str">
        <f>_xlfn.TEXTBEFORE(_xlfn.TEXTAFTER(AF284, ", ", 2), " ")</f>
        <v>97999</v>
      </c>
      <c r="AI284" t="str">
        <f>_xlfn.TEXTAFTER(_xlfn.TEXTAFTER(AF284, ", ", 2), " ")</f>
        <v>Igersheim-Zentrum</v>
      </c>
    </row>
    <row r="285" spans="1:35" x14ac:dyDescent="0.2">
      <c r="A285" t="str">
        <f>B285&amp;C285&amp;H285&amp;N285</f>
        <v>35000404TV FleinD-Junioren1</v>
      </c>
      <c r="B285" t="s">
        <v>109</v>
      </c>
      <c r="C285" t="s">
        <v>110</v>
      </c>
      <c r="D285" t="s">
        <v>34</v>
      </c>
      <c r="E285" t="s">
        <v>35</v>
      </c>
      <c r="F285" t="s">
        <v>36</v>
      </c>
      <c r="G285">
        <v>3</v>
      </c>
      <c r="H285" t="s">
        <v>833</v>
      </c>
      <c r="I285" t="s">
        <v>844</v>
      </c>
      <c r="J285" t="s">
        <v>897</v>
      </c>
      <c r="K285" t="s">
        <v>898</v>
      </c>
      <c r="L285" t="s">
        <v>1379</v>
      </c>
      <c r="M285">
        <v>6</v>
      </c>
      <c r="N285">
        <v>1</v>
      </c>
      <c r="O285" t="s">
        <v>909</v>
      </c>
      <c r="P285" t="s">
        <v>40</v>
      </c>
      <c r="Q285" t="s">
        <v>53</v>
      </c>
      <c r="R285" t="s">
        <v>836</v>
      </c>
      <c r="S285" t="s">
        <v>910</v>
      </c>
      <c r="T285" t="s">
        <v>837</v>
      </c>
      <c r="U285" t="s">
        <v>118</v>
      </c>
      <c r="V285" t="s">
        <v>43</v>
      </c>
      <c r="W285" t="s">
        <v>43</v>
      </c>
      <c r="Y285" t="s">
        <v>118</v>
      </c>
      <c r="Z285" t="s">
        <v>45</v>
      </c>
      <c r="AA285" t="s">
        <v>911</v>
      </c>
      <c r="AB285" t="s">
        <v>43</v>
      </c>
      <c r="AC285" t="s">
        <v>43</v>
      </c>
      <c r="AD285" t="s">
        <v>43</v>
      </c>
      <c r="AE285" t="s">
        <v>43</v>
      </c>
      <c r="AF285" t="str">
        <f>AA285</f>
        <v>Flein Kunstrasen (Flutlicht), Talheimer Str. 1, 74223 Flein-Zentrum</v>
      </c>
      <c r="AG285" t="str">
        <f>TRIM(MID(AF285, FIND(", ", AF285)+2, FIND(", ", AF285, FIND(", ", AF285)+1) - FIND(", ", AF285) - 2))</f>
        <v>Talheimer Str. 1</v>
      </c>
      <c r="AH285" t="str">
        <f>_xlfn.TEXTBEFORE(_xlfn.TEXTAFTER(AF285, ", ", 2), " ")</f>
        <v>74223</v>
      </c>
      <c r="AI285" t="str">
        <f>_xlfn.TEXTAFTER(_xlfn.TEXTAFTER(AF285, ", ", 2), " ")</f>
        <v>Flein-Zentrum</v>
      </c>
    </row>
    <row r="286" spans="1:35" x14ac:dyDescent="0.2">
      <c r="A286" t="str">
        <f>B286&amp;C286&amp;H286&amp;N286</f>
        <v>35000411Sportverein Heilbronn am Leinbach 1891D-Junioren2</v>
      </c>
      <c r="B286" t="s">
        <v>223</v>
      </c>
      <c r="C286" t="s">
        <v>224</v>
      </c>
      <c r="D286" t="s">
        <v>34</v>
      </c>
      <c r="E286" t="s">
        <v>35</v>
      </c>
      <c r="F286" t="s">
        <v>36</v>
      </c>
      <c r="G286">
        <v>3</v>
      </c>
      <c r="H286" t="s">
        <v>833</v>
      </c>
      <c r="I286" t="s">
        <v>844</v>
      </c>
      <c r="J286" t="s">
        <v>897</v>
      </c>
      <c r="K286" t="s">
        <v>898</v>
      </c>
      <c r="L286" t="s">
        <v>1379</v>
      </c>
      <c r="M286">
        <v>8</v>
      </c>
      <c r="N286">
        <v>2</v>
      </c>
      <c r="O286" t="s">
        <v>695</v>
      </c>
      <c r="P286" t="s">
        <v>40</v>
      </c>
      <c r="Q286" t="s">
        <v>40</v>
      </c>
      <c r="R286" t="s">
        <v>836</v>
      </c>
      <c r="U286" t="s">
        <v>226</v>
      </c>
      <c r="V286" t="s">
        <v>43</v>
      </c>
      <c r="W286" t="s">
        <v>43</v>
      </c>
      <c r="Y286" t="s">
        <v>43</v>
      </c>
      <c r="Z286" t="s">
        <v>45</v>
      </c>
      <c r="AA286" t="s">
        <v>403</v>
      </c>
      <c r="AB286" t="s">
        <v>43</v>
      </c>
      <c r="AC286" t="s">
        <v>43</v>
      </c>
      <c r="AD286" t="s">
        <v>43</v>
      </c>
      <c r="AE286" t="s">
        <v>43</v>
      </c>
      <c r="AF286" t="str">
        <f>AA286</f>
        <v>Frankenbach Kunstrasen, Riedweg 52, 74078 Heilbronn-Frankenbach</v>
      </c>
      <c r="AG286" t="str">
        <f>TRIM(MID(AF286, FIND(", ", AF286)+2, FIND(", ", AF286, FIND(", ", AF286)+1) - FIND(", ", AF286) - 2))</f>
        <v>Riedweg 52</v>
      </c>
      <c r="AH286" t="str">
        <f>_xlfn.TEXTBEFORE(_xlfn.TEXTAFTER(AF286, ", ", 2), " ")</f>
        <v>74078</v>
      </c>
      <c r="AI286" t="str">
        <f>_xlfn.TEXTAFTER(_xlfn.TEXTAFTER(AF286, ", ", 2), " ")</f>
        <v>Heilbronn-Frankenbach</v>
      </c>
    </row>
    <row r="287" spans="1:35" x14ac:dyDescent="0.2">
      <c r="A287" t="str">
        <f>B287&amp;C287&amp;H287&amp;N287</f>
        <v>35000565ASV HeilbronnD-Junioren1</v>
      </c>
      <c r="B287" t="s">
        <v>895</v>
      </c>
      <c r="C287" t="s">
        <v>896</v>
      </c>
      <c r="D287" t="s">
        <v>34</v>
      </c>
      <c r="E287" t="s">
        <v>35</v>
      </c>
      <c r="F287" t="s">
        <v>36</v>
      </c>
      <c r="G287">
        <v>3</v>
      </c>
      <c r="H287" t="s">
        <v>833</v>
      </c>
      <c r="I287" t="s">
        <v>844</v>
      </c>
      <c r="J287" t="s">
        <v>897</v>
      </c>
      <c r="K287" t="s">
        <v>898</v>
      </c>
      <c r="L287" t="s">
        <v>1379</v>
      </c>
      <c r="M287">
        <v>4</v>
      </c>
      <c r="N287">
        <v>1</v>
      </c>
      <c r="O287" t="s">
        <v>899</v>
      </c>
      <c r="P287" t="s">
        <v>40</v>
      </c>
      <c r="Q287" t="s">
        <v>40</v>
      </c>
      <c r="R287" t="s">
        <v>836</v>
      </c>
      <c r="T287" t="s">
        <v>849</v>
      </c>
      <c r="U287" t="s">
        <v>118</v>
      </c>
      <c r="V287" t="s">
        <v>43</v>
      </c>
      <c r="W287" t="s">
        <v>43</v>
      </c>
      <c r="X287" t="s">
        <v>900</v>
      </c>
      <c r="Y287" s="4" t="s">
        <v>901</v>
      </c>
      <c r="Z287" t="s">
        <v>45</v>
      </c>
      <c r="AA287" t="s">
        <v>902</v>
      </c>
      <c r="AB287" t="s">
        <v>43</v>
      </c>
      <c r="AC287" t="s">
        <v>43</v>
      </c>
      <c r="AD287" t="s">
        <v>43</v>
      </c>
      <c r="AE287" t="s">
        <v>43</v>
      </c>
      <c r="AF287" t="str">
        <f>AA287</f>
        <v>Wertwiesen (ASV) Rasen, Wertwiesen 6, 74081 Heilbronn-Sontheim</v>
      </c>
      <c r="AG287" t="str">
        <f>TRIM(MID(AF287, FIND(", ", AF287)+2, FIND(", ", AF287, FIND(", ", AF287)+1) - FIND(", ", AF287) - 2))</f>
        <v>Wertwiesen 6</v>
      </c>
      <c r="AH287" t="str">
        <f>_xlfn.TEXTBEFORE(_xlfn.TEXTAFTER(AF287, ", ", 2), " ")</f>
        <v>74081</v>
      </c>
      <c r="AI287" t="str">
        <f>_xlfn.TEXTAFTER(_xlfn.TEXTAFTER(AF287, ", ", 2), " ")</f>
        <v>Heilbronn-Sontheim</v>
      </c>
    </row>
    <row r="288" spans="1:35" x14ac:dyDescent="0.2">
      <c r="A288" t="str">
        <f>B288&amp;C288&amp;H288&amp;N288</f>
        <v>35001402TSV UntergruppenbachD-Junioren1</v>
      </c>
      <c r="B288" t="s">
        <v>232</v>
      </c>
      <c r="C288" t="s">
        <v>233</v>
      </c>
      <c r="D288" t="s">
        <v>34</v>
      </c>
      <c r="E288" t="s">
        <v>35</v>
      </c>
      <c r="F288" t="s">
        <v>36</v>
      </c>
      <c r="G288">
        <v>3</v>
      </c>
      <c r="H288" t="s">
        <v>833</v>
      </c>
      <c r="I288" t="s">
        <v>844</v>
      </c>
      <c r="J288" t="s">
        <v>897</v>
      </c>
      <c r="K288" t="s">
        <v>898</v>
      </c>
      <c r="L288" t="s">
        <v>1379</v>
      </c>
      <c r="M288">
        <v>7</v>
      </c>
      <c r="N288">
        <v>1</v>
      </c>
      <c r="O288" t="s">
        <v>233</v>
      </c>
      <c r="P288" t="s">
        <v>40</v>
      </c>
      <c r="Q288" t="s">
        <v>40</v>
      </c>
      <c r="R288" t="s">
        <v>836</v>
      </c>
      <c r="T288" t="s">
        <v>837</v>
      </c>
      <c r="U288" t="s">
        <v>118</v>
      </c>
      <c r="V288" t="s">
        <v>43</v>
      </c>
      <c r="W288" t="s">
        <v>43</v>
      </c>
      <c r="X288" t="s">
        <v>906</v>
      </c>
      <c r="Y288" s="4" t="s">
        <v>907</v>
      </c>
      <c r="Z288" t="s">
        <v>45</v>
      </c>
      <c r="AA288" t="s">
        <v>908</v>
      </c>
      <c r="AB288" t="s">
        <v>43</v>
      </c>
      <c r="AC288" t="s">
        <v>43</v>
      </c>
      <c r="AD288" t="s">
        <v>43</v>
      </c>
      <c r="AE288" t="s">
        <v>43</v>
      </c>
      <c r="AF288" t="str">
        <f>AA288</f>
        <v>Untergruppenbach Rasen 2 (Nebenplatz am Sportheim), Obergruppenbacher Str., 74199 Untergruppenbach-Zentrum</v>
      </c>
      <c r="AG288" t="str">
        <f>TRIM(MID(AF288, FIND(", ", AF288)+2, FIND(", ", AF288, FIND(", ", AF288)+1) - FIND(", ", AF288) - 2))</f>
        <v>Obergruppenbacher Str.</v>
      </c>
      <c r="AH288" t="str">
        <f>_xlfn.TEXTBEFORE(_xlfn.TEXTAFTER(AF288, ", ", 2), " ")</f>
        <v>74199</v>
      </c>
      <c r="AI288" t="str">
        <f>_xlfn.TEXTAFTER(_xlfn.TEXTAFTER(AF288, ", ", 2), " ")</f>
        <v>Untergruppenbach-Zentrum</v>
      </c>
    </row>
    <row r="289" spans="1:35" x14ac:dyDescent="0.2">
      <c r="A289" t="str">
        <f>B289&amp;C289&amp;H289&amp;N289</f>
        <v>35002198FC Union HeilbronnD-Junioren2</v>
      </c>
      <c r="B289" t="s">
        <v>85</v>
      </c>
      <c r="C289" t="s">
        <v>86</v>
      </c>
      <c r="D289" t="s">
        <v>34</v>
      </c>
      <c r="E289" t="s">
        <v>35</v>
      </c>
      <c r="F289" t="s">
        <v>36</v>
      </c>
      <c r="G289">
        <v>3</v>
      </c>
      <c r="H289" t="s">
        <v>833</v>
      </c>
      <c r="I289" t="s">
        <v>844</v>
      </c>
      <c r="J289" t="s">
        <v>897</v>
      </c>
      <c r="K289" t="s">
        <v>898</v>
      </c>
      <c r="L289" t="s">
        <v>1379</v>
      </c>
      <c r="M289">
        <v>3</v>
      </c>
      <c r="N289">
        <v>2</v>
      </c>
      <c r="O289" t="s">
        <v>591</v>
      </c>
      <c r="P289" t="s">
        <v>40</v>
      </c>
      <c r="Q289" t="s">
        <v>40</v>
      </c>
      <c r="R289" t="s">
        <v>836</v>
      </c>
      <c r="T289" t="s">
        <v>841</v>
      </c>
      <c r="U289" t="s">
        <v>118</v>
      </c>
      <c r="V289" t="s">
        <v>43</v>
      </c>
      <c r="W289" t="s">
        <v>43</v>
      </c>
      <c r="Y289" t="s">
        <v>905</v>
      </c>
      <c r="Z289" t="s">
        <v>45</v>
      </c>
      <c r="AA289" t="s">
        <v>89</v>
      </c>
      <c r="AB289" t="s">
        <v>43</v>
      </c>
      <c r="AC289" t="s">
        <v>43</v>
      </c>
      <c r="AD289" t="s">
        <v>43</v>
      </c>
      <c r="AE289" t="s">
        <v>43</v>
      </c>
      <c r="AF289" t="str">
        <f>AA289</f>
        <v>Böckingen (SC) Kunstrasen, Viehweide 5, 74080 Heilbronn-Böckingen</v>
      </c>
      <c r="AG289" t="str">
        <f>TRIM(MID(AF289, FIND(", ", AF289)+2, FIND(", ", AF289, FIND(", ", AF289)+1) - FIND(", ", AF289) - 2))</f>
        <v>Viehweide 5</v>
      </c>
      <c r="AH289" t="str">
        <f>_xlfn.TEXTBEFORE(_xlfn.TEXTAFTER(AF289, ", ", 2), " ")</f>
        <v>74080</v>
      </c>
      <c r="AI289" t="str">
        <f>_xlfn.TEXTAFTER(_xlfn.TEXTAFTER(AF289, ", ", 2), " ")</f>
        <v>Heilbronn-Böckingen</v>
      </c>
    </row>
    <row r="290" spans="1:35" x14ac:dyDescent="0.2">
      <c r="A290" t="str">
        <f>B290&amp;C290&amp;H290&amp;N290</f>
        <v>35002312VfR Heilbronn 96/18D-Junioren3</v>
      </c>
      <c r="B290" t="s">
        <v>32</v>
      </c>
      <c r="C290" t="s">
        <v>33</v>
      </c>
      <c r="D290" t="s">
        <v>34</v>
      </c>
      <c r="E290" t="s">
        <v>35</v>
      </c>
      <c r="F290" t="s">
        <v>36</v>
      </c>
      <c r="G290">
        <v>3</v>
      </c>
      <c r="H290" t="s">
        <v>833</v>
      </c>
      <c r="I290" t="s">
        <v>844</v>
      </c>
      <c r="J290" t="s">
        <v>897</v>
      </c>
      <c r="K290" t="s">
        <v>898</v>
      </c>
      <c r="L290" t="s">
        <v>1379</v>
      </c>
      <c r="M290">
        <v>2</v>
      </c>
      <c r="N290">
        <v>3</v>
      </c>
      <c r="O290" t="s">
        <v>696</v>
      </c>
      <c r="P290" t="s">
        <v>40</v>
      </c>
      <c r="Q290" t="s">
        <v>40</v>
      </c>
      <c r="R290" t="s">
        <v>836</v>
      </c>
      <c r="T290" t="s">
        <v>837</v>
      </c>
      <c r="U290" t="s">
        <v>118</v>
      </c>
      <c r="V290" t="s">
        <v>43</v>
      </c>
      <c r="W290" t="s">
        <v>43</v>
      </c>
      <c r="Y290" t="s">
        <v>870</v>
      </c>
      <c r="Z290" t="s">
        <v>45</v>
      </c>
      <c r="AA290" t="s">
        <v>871</v>
      </c>
      <c r="AB290" t="s">
        <v>43</v>
      </c>
      <c r="AC290" t="s">
        <v>43</v>
      </c>
      <c r="AD290" t="s">
        <v>43</v>
      </c>
      <c r="AE290" t="s">
        <v>43</v>
      </c>
      <c r="AF290" t="str">
        <f>AA290</f>
        <v>Heilbronn Frankenstadion Rasen 2 (Nebenplatz), Badstr. 100, 74072 Heilbronn-Zentrum</v>
      </c>
      <c r="AG290" t="str">
        <f>TRIM(MID(AF290, FIND(", ", AF290)+2, FIND(", ", AF290, FIND(", ", AF290)+1) - FIND(", ", AF290) - 2))</f>
        <v>Badstr. 100</v>
      </c>
      <c r="AH290" t="str">
        <f>_xlfn.TEXTBEFORE(_xlfn.TEXTAFTER(AF290, ", ", 2), " ")</f>
        <v>74072</v>
      </c>
      <c r="AI290" t="str">
        <f>_xlfn.TEXTAFTER(_xlfn.TEXTAFTER(AF290, ", ", 2), " ")</f>
        <v>Heilbronn-Zentrum</v>
      </c>
    </row>
    <row r="291" spans="1:35" x14ac:dyDescent="0.2">
      <c r="A291" t="str">
        <f>B291&amp;C291&amp;H291&amp;N291</f>
        <v>35000210TSV BrettachD-Junioren1</v>
      </c>
      <c r="B291" t="s">
        <v>542</v>
      </c>
      <c r="C291" t="s">
        <v>543</v>
      </c>
      <c r="D291" t="s">
        <v>77</v>
      </c>
      <c r="E291" t="s">
        <v>35</v>
      </c>
      <c r="F291" t="s">
        <v>36</v>
      </c>
      <c r="G291">
        <v>3</v>
      </c>
      <c r="H291" t="s">
        <v>833</v>
      </c>
      <c r="I291" t="s">
        <v>844</v>
      </c>
      <c r="J291" t="s">
        <v>897</v>
      </c>
      <c r="K291" t="s">
        <v>898</v>
      </c>
      <c r="L291" t="s">
        <v>1379</v>
      </c>
      <c r="M291">
        <v>5</v>
      </c>
      <c r="N291">
        <v>1</v>
      </c>
      <c r="O291" t="s">
        <v>903</v>
      </c>
      <c r="P291" t="s">
        <v>40</v>
      </c>
      <c r="Q291" t="s">
        <v>53</v>
      </c>
      <c r="R291" t="s">
        <v>836</v>
      </c>
      <c r="T291" t="s">
        <v>849</v>
      </c>
      <c r="U291" t="s">
        <v>118</v>
      </c>
      <c r="V291" t="s">
        <v>43</v>
      </c>
      <c r="W291" t="s">
        <v>43</v>
      </c>
      <c r="Y291" t="s">
        <v>904</v>
      </c>
      <c r="Z291" t="s">
        <v>45</v>
      </c>
      <c r="AA291" t="s">
        <v>546</v>
      </c>
      <c r="AB291" t="s">
        <v>43</v>
      </c>
      <c r="AC291" t="s">
        <v>43</v>
      </c>
      <c r="AD291" t="s">
        <v>43</v>
      </c>
      <c r="AE291" t="s">
        <v>43</v>
      </c>
      <c r="AF291" t="str">
        <f>AA291</f>
        <v>Brettach Rasen 1, Cleversulzbacher Str., 74243 Langenbrettach-Brettach</v>
      </c>
      <c r="AG291" t="str">
        <f>TRIM(MID(AF291, FIND(", ", AF291)+2, FIND(", ", AF291, FIND(", ", AF291)+1) - FIND(", ", AF291) - 2))</f>
        <v>Cleversulzbacher Str.</v>
      </c>
      <c r="AH291" t="str">
        <f>_xlfn.TEXTBEFORE(_xlfn.TEXTAFTER(AF291, ", ", 2), " ")</f>
        <v>74243</v>
      </c>
      <c r="AI291" t="str">
        <f>_xlfn.TEXTAFTER(_xlfn.TEXTAFTER(AF291, ", ", 2), " ")</f>
        <v>Langenbrettach-Brettach</v>
      </c>
    </row>
    <row r="292" spans="1:35" x14ac:dyDescent="0.2">
      <c r="A292" t="str">
        <f>B292&amp;C292&amp;H292&amp;N292</f>
        <v>35002099FSV Friedrichshaller SV 1898D-Junioren1</v>
      </c>
      <c r="B292" t="s">
        <v>338</v>
      </c>
      <c r="C292" t="s">
        <v>339</v>
      </c>
      <c r="D292" t="s">
        <v>77</v>
      </c>
      <c r="E292" t="s">
        <v>35</v>
      </c>
      <c r="F292" t="s">
        <v>36</v>
      </c>
      <c r="G292">
        <v>3</v>
      </c>
      <c r="H292" t="s">
        <v>833</v>
      </c>
      <c r="I292" t="s">
        <v>844</v>
      </c>
      <c r="J292" t="s">
        <v>897</v>
      </c>
      <c r="K292" t="s">
        <v>898</v>
      </c>
      <c r="L292" t="s">
        <v>1379</v>
      </c>
      <c r="M292">
        <v>1</v>
      </c>
      <c r="N292">
        <v>1</v>
      </c>
      <c r="O292" t="s">
        <v>373</v>
      </c>
      <c r="P292" t="s">
        <v>40</v>
      </c>
      <c r="Q292" t="s">
        <v>53</v>
      </c>
      <c r="R292" t="s">
        <v>836</v>
      </c>
      <c r="T292" t="s">
        <v>837</v>
      </c>
      <c r="U292" t="s">
        <v>118</v>
      </c>
      <c r="V292" t="s">
        <v>43</v>
      </c>
      <c r="W292" t="s">
        <v>43</v>
      </c>
      <c r="Y292" t="s">
        <v>43</v>
      </c>
      <c r="Z292" t="s">
        <v>45</v>
      </c>
      <c r="AA292" t="s">
        <v>341</v>
      </c>
      <c r="AB292" t="s">
        <v>43</v>
      </c>
      <c r="AC292" t="s">
        <v>43</v>
      </c>
      <c r="AD292" t="s">
        <v>43</v>
      </c>
      <c r="AE292" t="s">
        <v>43</v>
      </c>
      <c r="AF292" t="str">
        <f>AA292</f>
        <v>Jagstfeld Kunstrasen, Hohe Straße , 74177 Bad Friedrichshall-Jagstfeld</v>
      </c>
      <c r="AG292" t="str">
        <f>TRIM(MID(AF292, FIND(", ", AF292)+2, FIND(", ", AF292, FIND(", ", AF292)+1) - FIND(", ", AF292) - 2))</f>
        <v>Hohe Straße</v>
      </c>
      <c r="AH292" t="str">
        <f>_xlfn.TEXTBEFORE(_xlfn.TEXTAFTER(AF292, ", ", 2), " ")</f>
        <v>74177</v>
      </c>
      <c r="AI292" t="str">
        <f>_xlfn.TEXTAFTER(_xlfn.TEXTAFTER(AF292, ", ", 2), " ")</f>
        <v>Bad Friedrichshall-Jagstfeld</v>
      </c>
    </row>
    <row r="293" spans="1:35" x14ac:dyDescent="0.2">
      <c r="A293" t="str">
        <f>B293&amp;C293&amp;H293&amp;N293</f>
        <v>35000924TSV NeuensteinD-Junioren1</v>
      </c>
      <c r="B293" t="s">
        <v>527</v>
      </c>
      <c r="C293" t="s">
        <v>528</v>
      </c>
      <c r="D293" t="s">
        <v>66</v>
      </c>
      <c r="E293" t="s">
        <v>35</v>
      </c>
      <c r="F293" t="s">
        <v>50</v>
      </c>
      <c r="G293">
        <v>3</v>
      </c>
      <c r="H293" t="s">
        <v>833</v>
      </c>
      <c r="I293" t="s">
        <v>844</v>
      </c>
      <c r="J293" t="s">
        <v>897</v>
      </c>
      <c r="K293" t="s">
        <v>912</v>
      </c>
      <c r="L293" t="s">
        <v>1378</v>
      </c>
      <c r="M293">
        <v>3</v>
      </c>
      <c r="N293">
        <v>1</v>
      </c>
      <c r="O293" t="s">
        <v>918</v>
      </c>
      <c r="P293" t="s">
        <v>40</v>
      </c>
      <c r="Q293" t="s">
        <v>53</v>
      </c>
      <c r="R293" t="s">
        <v>836</v>
      </c>
      <c r="T293" t="s">
        <v>837</v>
      </c>
      <c r="U293" t="s">
        <v>118</v>
      </c>
      <c r="V293" t="s">
        <v>43</v>
      </c>
      <c r="W293" t="s">
        <v>43</v>
      </c>
      <c r="Y293" t="s">
        <v>43</v>
      </c>
      <c r="Z293" t="s">
        <v>45</v>
      </c>
      <c r="AA293" t="s">
        <v>919</v>
      </c>
      <c r="AB293" t="s">
        <v>43</v>
      </c>
      <c r="AC293" t="s">
        <v>43</v>
      </c>
      <c r="AD293" t="s">
        <v>43</v>
      </c>
      <c r="AE293" t="s">
        <v>43</v>
      </c>
      <c r="AF293" t="str">
        <f>AA293</f>
        <v>Sportplatz 2 TSV Neuenstein, Öhringer Str., 74632 Neuenstein-Zentrum</v>
      </c>
      <c r="AG293" t="str">
        <f>TRIM(MID(AF293, FIND(", ", AF293)+2, FIND(", ", AF293, FIND(", ", AF293)+1) - FIND(", ", AF293) - 2))</f>
        <v>Öhringer Str.</v>
      </c>
      <c r="AH293" t="str">
        <f>_xlfn.TEXTBEFORE(_xlfn.TEXTAFTER(AF293, ", ", 2), " ")</f>
        <v>74632</v>
      </c>
      <c r="AI293" t="str">
        <f>_xlfn.TEXTAFTER(_xlfn.TEXTAFTER(AF293, ", ", 2), " ")</f>
        <v>Neuenstein-Zentrum</v>
      </c>
    </row>
    <row r="294" spans="1:35" x14ac:dyDescent="0.2">
      <c r="A294" t="str">
        <f>B294&amp;C294&amp;H294&amp;N294</f>
        <v>35000932VfB NeuhüttenD-Junioren1</v>
      </c>
      <c r="B294" t="s">
        <v>302</v>
      </c>
      <c r="C294" t="s">
        <v>303</v>
      </c>
      <c r="D294" t="s">
        <v>66</v>
      </c>
      <c r="E294" t="s">
        <v>35</v>
      </c>
      <c r="F294" t="s">
        <v>50</v>
      </c>
      <c r="G294">
        <v>3</v>
      </c>
      <c r="H294" t="s">
        <v>833</v>
      </c>
      <c r="I294" t="s">
        <v>114</v>
      </c>
      <c r="J294" t="s">
        <v>897</v>
      </c>
      <c r="K294" t="s">
        <v>912</v>
      </c>
      <c r="L294" t="s">
        <v>1378</v>
      </c>
      <c r="M294">
        <v>4</v>
      </c>
      <c r="N294">
        <v>1</v>
      </c>
      <c r="O294" t="s">
        <v>773</v>
      </c>
      <c r="P294" t="s">
        <v>40</v>
      </c>
      <c r="Q294" t="s">
        <v>53</v>
      </c>
      <c r="R294" t="s">
        <v>836</v>
      </c>
      <c r="T294" t="s">
        <v>974</v>
      </c>
      <c r="U294" t="s">
        <v>226</v>
      </c>
      <c r="V294" t="s">
        <v>43</v>
      </c>
      <c r="W294" t="s">
        <v>43</v>
      </c>
      <c r="Y294" t="s">
        <v>1080</v>
      </c>
      <c r="Z294" t="s">
        <v>45</v>
      </c>
      <c r="AA294" t="s">
        <v>1081</v>
      </c>
      <c r="AB294" t="s">
        <v>43</v>
      </c>
      <c r="AC294" t="s">
        <v>43</v>
      </c>
      <c r="AD294" t="s">
        <v>43</v>
      </c>
      <c r="AE294" t="s">
        <v>43</v>
      </c>
      <c r="AF294" t="str">
        <f>AA294</f>
        <v>Sportzentrum Burgfrieden, Öhringer Str. 78, 71543 Wüstenrot-Neuhütten</v>
      </c>
      <c r="AG294" t="str">
        <f>TRIM(MID(AF294, FIND(", ", AF294)+2, FIND(", ", AF294, FIND(", ", AF294)+1) - FIND(", ", AF294) - 2))</f>
        <v>Öhringer Str. 78</v>
      </c>
      <c r="AH294" t="str">
        <f>_xlfn.TEXTBEFORE(_xlfn.TEXTAFTER(AF294, ", ", 2), " ")</f>
        <v>71543</v>
      </c>
      <c r="AI294" t="str">
        <f>_xlfn.TEXTAFTER(_xlfn.TEXTAFTER(AF294, ", ", 2), " ")</f>
        <v>Wüstenrot-Neuhütten</v>
      </c>
    </row>
    <row r="295" spans="1:35" x14ac:dyDescent="0.2">
      <c r="A295" t="str">
        <f>B295&amp;C295&amp;H295&amp;N295</f>
        <v>35001044TSV PfedelbachD-Junioren1</v>
      </c>
      <c r="B295" t="s">
        <v>425</v>
      </c>
      <c r="C295" t="s">
        <v>426</v>
      </c>
      <c r="D295" t="s">
        <v>66</v>
      </c>
      <c r="E295" t="s">
        <v>35</v>
      </c>
      <c r="F295" t="s">
        <v>50</v>
      </c>
      <c r="G295">
        <v>3</v>
      </c>
      <c r="H295" t="s">
        <v>833</v>
      </c>
      <c r="I295" t="s">
        <v>844</v>
      </c>
      <c r="J295" t="s">
        <v>897</v>
      </c>
      <c r="K295" t="s">
        <v>912</v>
      </c>
      <c r="L295" t="s">
        <v>1378</v>
      </c>
      <c r="M295">
        <v>2</v>
      </c>
      <c r="N295">
        <v>1</v>
      </c>
      <c r="O295" t="s">
        <v>427</v>
      </c>
      <c r="P295" t="s">
        <v>40</v>
      </c>
      <c r="Q295" t="s">
        <v>53</v>
      </c>
      <c r="R295" t="s">
        <v>836</v>
      </c>
      <c r="U295" t="s">
        <v>118</v>
      </c>
      <c r="V295" t="s">
        <v>43</v>
      </c>
      <c r="W295" t="s">
        <v>43</v>
      </c>
      <c r="Y295" t="s">
        <v>43</v>
      </c>
      <c r="Z295" t="s">
        <v>45</v>
      </c>
      <c r="AA295" t="s">
        <v>431</v>
      </c>
      <c r="AB295" t="s">
        <v>43</v>
      </c>
      <c r="AC295" t="s">
        <v>43</v>
      </c>
      <c r="AD295" t="s">
        <v>43</v>
      </c>
      <c r="AE295" t="s">
        <v>43</v>
      </c>
      <c r="AF295" t="str">
        <f>AA295</f>
        <v>Sportplatz TSV Pfedelbach , Hohenlohe Allee 9, 74629 Pfedelbach-Zentrum</v>
      </c>
      <c r="AG295" t="str">
        <f>TRIM(MID(AF295, FIND(", ", AF295)+2, FIND(", ", AF295, FIND(", ", AF295)+1) - FIND(", ", AF295) - 2))</f>
        <v>Hohenlohe Allee 9</v>
      </c>
      <c r="AH295" t="str">
        <f>_xlfn.TEXTBEFORE(_xlfn.TEXTAFTER(AF295, ", ", 2), " ")</f>
        <v>74629</v>
      </c>
      <c r="AI295" t="str">
        <f>_xlfn.TEXTAFTER(_xlfn.TEXTAFTER(AF295, ", ", 2), " ")</f>
        <v>Pfedelbach-Zentrum</v>
      </c>
    </row>
    <row r="296" spans="1:35" x14ac:dyDescent="0.2">
      <c r="A296" t="str">
        <f>B296&amp;C296&amp;H296&amp;N296</f>
        <v>35000150DJK-TSV BieringenD-Junioren1</v>
      </c>
      <c r="B296" t="s">
        <v>758</v>
      </c>
      <c r="C296" t="s">
        <v>759</v>
      </c>
      <c r="D296" t="s">
        <v>49</v>
      </c>
      <c r="E296" t="s">
        <v>35</v>
      </c>
      <c r="F296" t="s">
        <v>50</v>
      </c>
      <c r="G296">
        <v>3</v>
      </c>
      <c r="H296" t="s">
        <v>833</v>
      </c>
      <c r="I296" t="s">
        <v>844</v>
      </c>
      <c r="J296" t="s">
        <v>897</v>
      </c>
      <c r="K296" t="s">
        <v>912</v>
      </c>
      <c r="L296" t="s">
        <v>1378</v>
      </c>
      <c r="M296">
        <v>7</v>
      </c>
      <c r="N296">
        <v>1</v>
      </c>
      <c r="O296" t="s">
        <v>913</v>
      </c>
      <c r="P296" t="s">
        <v>40</v>
      </c>
      <c r="Q296" t="s">
        <v>40</v>
      </c>
      <c r="R296" t="s">
        <v>836</v>
      </c>
      <c r="T296" t="s">
        <v>837</v>
      </c>
      <c r="U296" t="s">
        <v>118</v>
      </c>
      <c r="V296" t="s">
        <v>43</v>
      </c>
      <c r="W296" t="s">
        <v>43</v>
      </c>
      <c r="Y296" t="s">
        <v>43</v>
      </c>
      <c r="Z296" t="s">
        <v>45</v>
      </c>
      <c r="AA296" t="s">
        <v>761</v>
      </c>
      <c r="AB296" t="s">
        <v>43</v>
      </c>
      <c r="AC296" t="s">
        <v>43</v>
      </c>
      <c r="AD296" t="s">
        <v>43</v>
      </c>
      <c r="AE296" t="s">
        <v>43</v>
      </c>
      <c r="AF296" t="str">
        <f>AA296</f>
        <v>Sportplatz 1, DJK Bieringen, Max-Eyth-Str., 74214 Schöntal-Bieringen</v>
      </c>
      <c r="AG296" t="str">
        <f>_xlfn.TEXTBEFORE(_xlfn.TEXTAFTER(AF296, ", ", 2), ",")</f>
        <v>Max-Eyth-Str.</v>
      </c>
      <c r="AH296" t="str">
        <f>_xlfn.TEXTBEFORE(_xlfn.TEXTAFTER(AF296, ", ", 3), " ")</f>
        <v>74214</v>
      </c>
      <c r="AI296" t="str">
        <f>_xlfn.TEXTAFTER(_xlfn.TEXTAFTER(AF296, ", ", 3), " ")</f>
        <v>Schöntal-Bieringen</v>
      </c>
    </row>
    <row r="297" spans="1:35" x14ac:dyDescent="0.2">
      <c r="A297" t="str">
        <f>B297&amp;C297&amp;H297&amp;N297</f>
        <v>35000409TG ForchtenbergD-Junioren2</v>
      </c>
      <c r="B297" t="s">
        <v>838</v>
      </c>
      <c r="C297" t="s">
        <v>839</v>
      </c>
      <c r="D297" t="s">
        <v>49</v>
      </c>
      <c r="E297" t="s">
        <v>35</v>
      </c>
      <c r="F297" t="s">
        <v>50</v>
      </c>
      <c r="G297">
        <v>3</v>
      </c>
      <c r="H297" t="s">
        <v>833</v>
      </c>
      <c r="I297" t="s">
        <v>844</v>
      </c>
      <c r="J297" t="s">
        <v>897</v>
      </c>
      <c r="K297" t="s">
        <v>912</v>
      </c>
      <c r="L297" t="s">
        <v>1378</v>
      </c>
      <c r="M297">
        <v>5</v>
      </c>
      <c r="N297">
        <v>2</v>
      </c>
      <c r="O297" t="s">
        <v>915</v>
      </c>
      <c r="P297" t="s">
        <v>40</v>
      </c>
      <c r="Q297" t="s">
        <v>40</v>
      </c>
      <c r="R297" t="s">
        <v>836</v>
      </c>
      <c r="T297" t="s">
        <v>849</v>
      </c>
      <c r="U297" t="s">
        <v>118</v>
      </c>
      <c r="V297" t="s">
        <v>43</v>
      </c>
      <c r="W297" t="s">
        <v>43</v>
      </c>
      <c r="X297" t="s">
        <v>916</v>
      </c>
      <c r="Y297" s="4" t="s">
        <v>917</v>
      </c>
      <c r="Z297" t="s">
        <v>45</v>
      </c>
      <c r="AA297" t="s">
        <v>843</v>
      </c>
      <c r="AB297" t="s">
        <v>43</v>
      </c>
      <c r="AC297" t="s">
        <v>43</v>
      </c>
      <c r="AD297" t="s">
        <v>43</v>
      </c>
      <c r="AE297" t="s">
        <v>43</v>
      </c>
      <c r="AF297" t="str">
        <f>AA297</f>
        <v>Sportplatz Sindringen, Tuchbleiche 21, 74670 Forchtenberg-Sindringen</v>
      </c>
      <c r="AG297" t="str">
        <f>TRIM(MID(AF297, FIND(", ", AF297)+2, FIND(", ", AF297, FIND(", ", AF297)+1) - FIND(", ", AF297) - 2))</f>
        <v>Tuchbleiche 21</v>
      </c>
      <c r="AH297" t="str">
        <f>_xlfn.TEXTBEFORE(_xlfn.TEXTAFTER(AF297, ", ", 2), " ")</f>
        <v>74670</v>
      </c>
      <c r="AI297" t="str">
        <f>_xlfn.TEXTAFTER(_xlfn.TEXTAFTER(AF297, ", ", 2), " ")</f>
        <v>Forchtenberg-Sindringen</v>
      </c>
    </row>
    <row r="298" spans="1:35" x14ac:dyDescent="0.2">
      <c r="A298" t="str">
        <f>B298&amp;C298&amp;H298&amp;N298</f>
        <v>35000886SV MulfingenD-Junioren1</v>
      </c>
      <c r="B298" t="s">
        <v>778</v>
      </c>
      <c r="C298" t="s">
        <v>779</v>
      </c>
      <c r="D298" t="s">
        <v>49</v>
      </c>
      <c r="E298" t="s">
        <v>35</v>
      </c>
      <c r="F298" t="s">
        <v>50</v>
      </c>
      <c r="G298">
        <v>3</v>
      </c>
      <c r="H298" t="s">
        <v>833</v>
      </c>
      <c r="I298" t="s">
        <v>844</v>
      </c>
      <c r="J298" t="s">
        <v>897</v>
      </c>
      <c r="K298" t="s">
        <v>912</v>
      </c>
      <c r="L298" t="s">
        <v>1378</v>
      </c>
      <c r="M298">
        <v>1</v>
      </c>
      <c r="N298">
        <v>1</v>
      </c>
      <c r="O298" t="s">
        <v>779</v>
      </c>
      <c r="P298" t="s">
        <v>40</v>
      </c>
      <c r="Q298" t="s">
        <v>53</v>
      </c>
      <c r="R298" t="s">
        <v>836</v>
      </c>
      <c r="T298" t="s">
        <v>837</v>
      </c>
      <c r="U298" t="s">
        <v>118</v>
      </c>
      <c r="V298" t="s">
        <v>43</v>
      </c>
      <c r="W298" t="s">
        <v>43</v>
      </c>
      <c r="Y298" t="s">
        <v>43</v>
      </c>
      <c r="Z298" t="s">
        <v>45</v>
      </c>
      <c r="AA298" t="s">
        <v>781</v>
      </c>
      <c r="AB298" t="s">
        <v>43</v>
      </c>
      <c r="AC298" t="s">
        <v>43</v>
      </c>
      <c r="AD298" t="s">
        <v>43</v>
      </c>
      <c r="AE298" t="s">
        <v>43</v>
      </c>
      <c r="AF298" t="str">
        <f>AA298</f>
        <v>Kunstrasenplatz Mulfingen am Vereinsheim, Bachgasse 94, 74673 Mulfingen-Zentrum</v>
      </c>
      <c r="AG298" t="str">
        <f>TRIM(MID(AF298, FIND(", ", AF298)+2, FIND(", ", AF298, FIND(", ", AF298)+1) - FIND(", ", AF298) - 2))</f>
        <v>Bachgasse 94</v>
      </c>
      <c r="AH298" t="str">
        <f>_xlfn.TEXTBEFORE(_xlfn.TEXTAFTER(AF298, ", ", 2), " ")</f>
        <v>74673</v>
      </c>
      <c r="AI298" t="str">
        <f>_xlfn.TEXTAFTER(_xlfn.TEXTAFTER(AF298, ", ", 2), " ")</f>
        <v>Mulfingen-Zentrum</v>
      </c>
    </row>
    <row r="299" spans="1:35" x14ac:dyDescent="0.2">
      <c r="A299" t="str">
        <f>B299&amp;C299&amp;H299&amp;N299</f>
        <v>35000846VfB Bad MergentheimD-Junioren1</v>
      </c>
      <c r="B299" t="s">
        <v>202</v>
      </c>
      <c r="C299" t="s">
        <v>203</v>
      </c>
      <c r="D299" t="s">
        <v>204</v>
      </c>
      <c r="E299" t="s">
        <v>35</v>
      </c>
      <c r="F299" t="s">
        <v>50</v>
      </c>
      <c r="G299">
        <v>3</v>
      </c>
      <c r="H299" t="s">
        <v>833</v>
      </c>
      <c r="I299" t="s">
        <v>844</v>
      </c>
      <c r="J299" t="s">
        <v>897</v>
      </c>
      <c r="K299" t="s">
        <v>912</v>
      </c>
      <c r="L299" t="s">
        <v>1378</v>
      </c>
      <c r="M299">
        <v>6</v>
      </c>
      <c r="N299">
        <v>1</v>
      </c>
      <c r="O299" t="s">
        <v>920</v>
      </c>
      <c r="P299" t="s">
        <v>40</v>
      </c>
      <c r="Q299" t="s">
        <v>53</v>
      </c>
      <c r="R299" t="s">
        <v>836</v>
      </c>
      <c r="T299" t="s">
        <v>837</v>
      </c>
      <c r="U299" t="s">
        <v>118</v>
      </c>
      <c r="V299" t="s">
        <v>43</v>
      </c>
      <c r="W299" t="s">
        <v>43</v>
      </c>
      <c r="Y299" t="s">
        <v>43</v>
      </c>
      <c r="Z299" t="s">
        <v>45</v>
      </c>
      <c r="AA299" t="s">
        <v>445</v>
      </c>
      <c r="AB299" t="s">
        <v>43</v>
      </c>
      <c r="AC299" t="s">
        <v>43</v>
      </c>
      <c r="AD299" t="s">
        <v>43</v>
      </c>
      <c r="AE299" t="s">
        <v>43</v>
      </c>
      <c r="AF299" t="str">
        <f>AA299</f>
        <v>Nebenplatz am Stadion, Arkau 3, 97980 Bad Mergentheim</v>
      </c>
      <c r="AG299" t="str">
        <f>TRIM(MID(AF299, FIND(", ", AF299)+2, FIND(", ", AF299, FIND(", ", AF299)+1) - FIND(", ", AF299) - 2))</f>
        <v>Arkau 3</v>
      </c>
      <c r="AH299" t="str">
        <f>_xlfn.TEXTBEFORE(_xlfn.TEXTAFTER(AF299, ", ", 2), " ")</f>
        <v>97980</v>
      </c>
      <c r="AI299" t="str">
        <f>_xlfn.TEXTAFTER(_xlfn.TEXTAFTER(AF299, ", ", 2), " ")</f>
        <v>Bad Mergentheim</v>
      </c>
    </row>
    <row r="300" spans="1:35" x14ac:dyDescent="0.2">
      <c r="A300" t="str">
        <f>B300&amp;C300&amp;H300&amp;N300</f>
        <v>35001441SV WachbachD-Junioren1</v>
      </c>
      <c r="B300" t="s">
        <v>558</v>
      </c>
      <c r="C300" t="s">
        <v>559</v>
      </c>
      <c r="D300" t="s">
        <v>204</v>
      </c>
      <c r="E300" t="s">
        <v>35</v>
      </c>
      <c r="F300" t="s">
        <v>50</v>
      </c>
      <c r="G300">
        <v>3</v>
      </c>
      <c r="H300" t="s">
        <v>833</v>
      </c>
      <c r="I300" t="s">
        <v>844</v>
      </c>
      <c r="J300" t="s">
        <v>897</v>
      </c>
      <c r="K300" t="s">
        <v>912</v>
      </c>
      <c r="L300" t="s">
        <v>1378</v>
      </c>
      <c r="M300">
        <v>8</v>
      </c>
      <c r="N300">
        <v>1</v>
      </c>
      <c r="O300" t="s">
        <v>914</v>
      </c>
      <c r="P300" t="s">
        <v>40</v>
      </c>
      <c r="Q300" t="s">
        <v>53</v>
      </c>
      <c r="R300" t="s">
        <v>836</v>
      </c>
      <c r="T300" t="s">
        <v>837</v>
      </c>
      <c r="U300" t="s">
        <v>118</v>
      </c>
      <c r="V300" t="s">
        <v>43</v>
      </c>
      <c r="W300" t="s">
        <v>43</v>
      </c>
      <c r="Y300" t="s">
        <v>43</v>
      </c>
      <c r="Z300" t="s">
        <v>45</v>
      </c>
      <c r="AA300" t="s">
        <v>562</v>
      </c>
      <c r="AB300" t="s">
        <v>43</v>
      </c>
      <c r="AC300" t="s">
        <v>43</v>
      </c>
      <c r="AD300" t="s">
        <v>43</v>
      </c>
      <c r="AE300" t="s">
        <v>43</v>
      </c>
      <c r="AF300" t="str">
        <f>AA300</f>
        <v>Sportpark im Erpfental, Erpfentalstr. 6, 97980 Bad Mergentheim-Wachbach</v>
      </c>
      <c r="AG300" t="str">
        <f>TRIM(MID(AF300, FIND(", ", AF300)+2, FIND(", ", AF300, FIND(", ", AF300)+1) - FIND(", ", AF300) - 2))</f>
        <v>Erpfentalstr. 6</v>
      </c>
      <c r="AH300" t="str">
        <f>_xlfn.TEXTBEFORE(_xlfn.TEXTAFTER(AF300, ", ", 2), " ")</f>
        <v>97980</v>
      </c>
      <c r="AI300" t="str">
        <f>_xlfn.TEXTAFTER(_xlfn.TEXTAFTER(AF300, ", ", 2), " ")</f>
        <v>Bad Mergentheim-Wachbach</v>
      </c>
    </row>
    <row r="301" spans="1:35" x14ac:dyDescent="0.2">
      <c r="A301" t="str">
        <f>B301&amp;C301&amp;H301&amp;N301</f>
        <v>35000905Neckarsulmer Sport-UnionD-Junioren2</v>
      </c>
      <c r="B301" t="s">
        <v>97</v>
      </c>
      <c r="C301" t="s">
        <v>98</v>
      </c>
      <c r="D301" t="s">
        <v>34</v>
      </c>
      <c r="E301" t="s">
        <v>35</v>
      </c>
      <c r="F301" t="s">
        <v>36</v>
      </c>
      <c r="G301">
        <v>3</v>
      </c>
      <c r="H301" t="s">
        <v>833</v>
      </c>
      <c r="I301" t="s">
        <v>114</v>
      </c>
      <c r="J301" t="s">
        <v>921</v>
      </c>
      <c r="K301" t="s">
        <v>922</v>
      </c>
      <c r="L301" t="s">
        <v>1387</v>
      </c>
      <c r="M301">
        <v>2</v>
      </c>
      <c r="N301">
        <v>2</v>
      </c>
      <c r="O301" t="s">
        <v>705</v>
      </c>
      <c r="P301" t="s">
        <v>40</v>
      </c>
      <c r="Q301" t="s">
        <v>40</v>
      </c>
      <c r="R301" t="s">
        <v>836</v>
      </c>
      <c r="T301" t="s">
        <v>837</v>
      </c>
      <c r="U301" t="s">
        <v>226</v>
      </c>
      <c r="V301" t="s">
        <v>43</v>
      </c>
      <c r="W301" t="s">
        <v>43</v>
      </c>
      <c r="Y301" t="s">
        <v>43</v>
      </c>
      <c r="Z301" t="s">
        <v>45</v>
      </c>
      <c r="AA301" t="s">
        <v>100</v>
      </c>
      <c r="AB301" t="s">
        <v>43</v>
      </c>
      <c r="AC301" t="s">
        <v>43</v>
      </c>
      <c r="AD301" t="s">
        <v>43</v>
      </c>
      <c r="AE301" t="s">
        <v>43</v>
      </c>
      <c r="AF301" t="str">
        <f>AA301</f>
        <v>Neckarsulm Pichterich Kunstrasen, Pichterichstr. 71, 74172 Neckarsulm-Zentrum</v>
      </c>
      <c r="AG301" t="str">
        <f>TRIM(MID(AF301, FIND(", ", AF301)+2, FIND(", ", AF301, FIND(", ", AF301)+1) - FIND(", ", AF301) - 2))</f>
        <v>Pichterichstr. 71</v>
      </c>
      <c r="AH301" t="str">
        <f>_xlfn.TEXTBEFORE(_xlfn.TEXTAFTER(AF301, ", ", 2), " ")</f>
        <v>74172</v>
      </c>
      <c r="AI301" t="str">
        <f>_xlfn.TEXTAFTER(_xlfn.TEXTAFTER(AF301, ", ", 2), " ")</f>
        <v>Neckarsulm-Zentrum</v>
      </c>
    </row>
    <row r="302" spans="1:35" x14ac:dyDescent="0.2">
      <c r="A302" t="str">
        <f>B302&amp;C302&amp;H302&amp;N302</f>
        <v>35000088MSV BachenauD-Junioren1</v>
      </c>
      <c r="B302" t="s">
        <v>924</v>
      </c>
      <c r="C302" t="s">
        <v>925</v>
      </c>
      <c r="D302" t="s">
        <v>77</v>
      </c>
      <c r="E302" t="s">
        <v>35</v>
      </c>
      <c r="F302" t="s">
        <v>36</v>
      </c>
      <c r="G302">
        <v>3</v>
      </c>
      <c r="H302" t="s">
        <v>833</v>
      </c>
      <c r="I302" t="s">
        <v>844</v>
      </c>
      <c r="J302" t="s">
        <v>921</v>
      </c>
      <c r="K302" t="s">
        <v>922</v>
      </c>
      <c r="L302" t="s">
        <v>1387</v>
      </c>
      <c r="M302">
        <v>3</v>
      </c>
      <c r="N302">
        <v>1</v>
      </c>
      <c r="O302" t="s">
        <v>926</v>
      </c>
      <c r="P302" t="s">
        <v>40</v>
      </c>
      <c r="Q302" t="s">
        <v>40</v>
      </c>
      <c r="R302" t="s">
        <v>836</v>
      </c>
      <c r="T302" t="s">
        <v>837</v>
      </c>
      <c r="U302" t="s">
        <v>118</v>
      </c>
      <c r="V302" t="s">
        <v>43</v>
      </c>
      <c r="W302" t="s">
        <v>43</v>
      </c>
      <c r="Y302" t="s">
        <v>927</v>
      </c>
      <c r="Z302" t="s">
        <v>45</v>
      </c>
      <c r="AA302" t="s">
        <v>928</v>
      </c>
      <c r="AB302" t="s">
        <v>43</v>
      </c>
      <c r="AC302" t="s">
        <v>43</v>
      </c>
      <c r="AD302" t="s">
        <v>43</v>
      </c>
      <c r="AE302" t="s">
        <v>43</v>
      </c>
      <c r="AF302" t="str">
        <f>AA302</f>
        <v>Bachenau Rasen, Pfarrstr. 28, 74831 Gundelsheim-Bachenau</v>
      </c>
      <c r="AG302" t="str">
        <f>TRIM(MID(AF302, FIND(", ", AF302)+2, FIND(", ", AF302, FIND(", ", AF302)+1) - FIND(", ", AF302) - 2))</f>
        <v>Pfarrstr. 28</v>
      </c>
      <c r="AH302" t="str">
        <f>_xlfn.TEXTBEFORE(_xlfn.TEXTAFTER(AF302, ", ", 2), " ")</f>
        <v>74831</v>
      </c>
      <c r="AI302" t="str">
        <f>_xlfn.TEXTAFTER(_xlfn.TEXTAFTER(AF302, ", ", 2), " ")</f>
        <v>Gundelsheim-Bachenau</v>
      </c>
    </row>
    <row r="303" spans="1:35" x14ac:dyDescent="0.2">
      <c r="A303" t="str">
        <f>B303&amp;C303&amp;H303&amp;N303</f>
        <v>35000865Spvgg MöckmühlD-Junioren1</v>
      </c>
      <c r="B303" t="s">
        <v>639</v>
      </c>
      <c r="C303" t="s">
        <v>640</v>
      </c>
      <c r="D303" t="s">
        <v>77</v>
      </c>
      <c r="E303" t="s">
        <v>35</v>
      </c>
      <c r="F303" t="s">
        <v>36</v>
      </c>
      <c r="G303">
        <v>3</v>
      </c>
      <c r="H303" t="s">
        <v>833</v>
      </c>
      <c r="I303" t="s">
        <v>844</v>
      </c>
      <c r="J303" t="s">
        <v>921</v>
      </c>
      <c r="K303" t="s">
        <v>922</v>
      </c>
      <c r="L303" t="s">
        <v>1387</v>
      </c>
      <c r="M303">
        <v>8</v>
      </c>
      <c r="N303">
        <v>1</v>
      </c>
      <c r="O303" t="s">
        <v>934</v>
      </c>
      <c r="P303" t="s">
        <v>40</v>
      </c>
      <c r="Q303" t="s">
        <v>40</v>
      </c>
      <c r="R303" t="s">
        <v>836</v>
      </c>
      <c r="T303" t="s">
        <v>837</v>
      </c>
      <c r="U303" t="s">
        <v>118</v>
      </c>
      <c r="V303" t="s">
        <v>43</v>
      </c>
      <c r="W303" t="s">
        <v>43</v>
      </c>
      <c r="Y303" t="s">
        <v>43</v>
      </c>
      <c r="Z303" t="s">
        <v>45</v>
      </c>
      <c r="AA303" t="s">
        <v>642</v>
      </c>
      <c r="AB303" t="s">
        <v>43</v>
      </c>
      <c r="AC303" t="s">
        <v>43</v>
      </c>
      <c r="AD303" t="s">
        <v>43</v>
      </c>
      <c r="AE303" t="s">
        <v>43</v>
      </c>
      <c r="AF303" t="str">
        <f>AA303</f>
        <v>Möckmühl Rasen 1, Züttlinger Str. 1, 74219 Möckmühl</v>
      </c>
      <c r="AG303" t="str">
        <f>TRIM(MID(AF303, FIND(", ", AF303)+2, FIND(", ", AF303, FIND(", ", AF303)+1) - FIND(", ", AF303) - 2))</f>
        <v>Züttlinger Str. 1</v>
      </c>
      <c r="AH303" t="str">
        <f>_xlfn.TEXTBEFORE(_xlfn.TEXTAFTER(AF303, ", ", 2), " ")</f>
        <v>74219</v>
      </c>
      <c r="AI303" t="str">
        <f>_xlfn.TEXTAFTER(_xlfn.TEXTAFTER(AF303, ", ", 2), " ")</f>
        <v>Möckmühl</v>
      </c>
    </row>
    <row r="304" spans="1:35" x14ac:dyDescent="0.2">
      <c r="A304" t="str">
        <f>B304&amp;C304&amp;H304&amp;N304</f>
        <v>35000904SC Neckarsulm-AmorbachD-Junioren1</v>
      </c>
      <c r="B304" t="s">
        <v>112</v>
      </c>
      <c r="C304" t="s">
        <v>113</v>
      </c>
      <c r="D304" t="s">
        <v>77</v>
      </c>
      <c r="E304" t="s">
        <v>35</v>
      </c>
      <c r="F304" t="s">
        <v>36</v>
      </c>
      <c r="G304">
        <v>3</v>
      </c>
      <c r="H304" t="s">
        <v>833</v>
      </c>
      <c r="I304" t="s">
        <v>844</v>
      </c>
      <c r="J304" t="s">
        <v>921</v>
      </c>
      <c r="K304" t="s">
        <v>922</v>
      </c>
      <c r="L304" t="s">
        <v>1387</v>
      </c>
      <c r="M304">
        <v>7</v>
      </c>
      <c r="N304">
        <v>1</v>
      </c>
      <c r="O304" t="s">
        <v>923</v>
      </c>
      <c r="P304" t="s">
        <v>40</v>
      </c>
      <c r="Q304" t="s">
        <v>40</v>
      </c>
      <c r="R304" t="s">
        <v>836</v>
      </c>
      <c r="S304" t="s">
        <v>910</v>
      </c>
      <c r="T304" t="s">
        <v>849</v>
      </c>
      <c r="U304" t="s">
        <v>118</v>
      </c>
      <c r="V304" t="s">
        <v>43</v>
      </c>
      <c r="W304" t="s">
        <v>43</v>
      </c>
      <c r="Y304" t="s">
        <v>118</v>
      </c>
      <c r="Z304" t="s">
        <v>45</v>
      </c>
      <c r="AA304" t="s">
        <v>119</v>
      </c>
      <c r="AB304" t="s">
        <v>43</v>
      </c>
      <c r="AC304" t="s">
        <v>43</v>
      </c>
      <c r="AD304" t="s">
        <v>43</v>
      </c>
      <c r="AE304" t="s">
        <v>43</v>
      </c>
      <c r="AF304" t="str">
        <f>AA304</f>
        <v>Amorbach Kunstrasen, Schwabenweg 25, 74172 Neckarsulm-Amorbach</v>
      </c>
      <c r="AG304" t="str">
        <f>TRIM(MID(AF304, FIND(", ", AF304)+2, FIND(", ", AF304, FIND(", ", AF304)+1) - FIND(", ", AF304) - 2))</f>
        <v>Schwabenweg 25</v>
      </c>
      <c r="AH304" t="str">
        <f>_xlfn.TEXTBEFORE(_xlfn.TEXTAFTER(AF304, ", ", 2), " ")</f>
        <v>74172</v>
      </c>
      <c r="AI304" t="str">
        <f>_xlfn.TEXTAFTER(_xlfn.TEXTAFTER(AF304, ", ", 2), " ")</f>
        <v>Neckarsulm-Amorbach</v>
      </c>
    </row>
    <row r="305" spans="1:35" x14ac:dyDescent="0.2">
      <c r="A305" t="str">
        <f>B305&amp;C305&amp;H305&amp;N305</f>
        <v>35000921TSV NeudenauD-Junioren1</v>
      </c>
      <c r="B305" t="s">
        <v>453</v>
      </c>
      <c r="C305" t="s">
        <v>454</v>
      </c>
      <c r="D305" t="s">
        <v>77</v>
      </c>
      <c r="E305" t="s">
        <v>35</v>
      </c>
      <c r="F305" t="s">
        <v>36</v>
      </c>
      <c r="G305">
        <v>3</v>
      </c>
      <c r="H305" t="s">
        <v>833</v>
      </c>
      <c r="I305" t="s">
        <v>114</v>
      </c>
      <c r="J305" t="s">
        <v>921</v>
      </c>
      <c r="K305" t="s">
        <v>922</v>
      </c>
      <c r="L305" t="s">
        <v>1387</v>
      </c>
      <c r="M305">
        <v>5</v>
      </c>
      <c r="N305">
        <v>1</v>
      </c>
      <c r="O305" t="s">
        <v>973</v>
      </c>
      <c r="P305" t="s">
        <v>40</v>
      </c>
      <c r="Q305" t="s">
        <v>53</v>
      </c>
      <c r="R305" t="s">
        <v>836</v>
      </c>
      <c r="T305" t="s">
        <v>974</v>
      </c>
      <c r="U305" t="s">
        <v>226</v>
      </c>
      <c r="V305" t="s">
        <v>43</v>
      </c>
      <c r="W305" t="s">
        <v>43</v>
      </c>
      <c r="X305" t="s">
        <v>975</v>
      </c>
      <c r="Y305" s="4" t="s">
        <v>976</v>
      </c>
      <c r="Z305" t="s">
        <v>45</v>
      </c>
      <c r="AA305" t="s">
        <v>977</v>
      </c>
      <c r="AB305" t="s">
        <v>43</v>
      </c>
      <c r="AC305" t="s">
        <v>43</v>
      </c>
      <c r="AD305" t="s">
        <v>43</v>
      </c>
      <c r="AE305" t="s">
        <v>43</v>
      </c>
      <c r="AF305" t="str">
        <f>AA305</f>
        <v>Neudenau Rasen 1, Siglinger Str., 74861 Neudenau-Zentrum</v>
      </c>
      <c r="AG305" t="str">
        <f>TRIM(MID(AF305, FIND(", ", AF305)+2, FIND(", ", AF305, FIND(", ", AF305)+1) - FIND(", ", AF305) - 2))</f>
        <v>Siglinger Str.</v>
      </c>
      <c r="AH305" t="str">
        <f>_xlfn.TEXTBEFORE(_xlfn.TEXTAFTER(AF305, ", ", 2), " ")</f>
        <v>74861</v>
      </c>
      <c r="AI305" t="str">
        <f>_xlfn.TEXTAFTER(_xlfn.TEXTAFTER(AF305, ", ", 2), " ")</f>
        <v>Neudenau-Zentrum</v>
      </c>
    </row>
    <row r="306" spans="1:35" x14ac:dyDescent="0.2">
      <c r="A306" t="str">
        <f>B306&amp;C306&amp;H306&amp;N306</f>
        <v>35000923TSV NeuenstadtD-Junioren1</v>
      </c>
      <c r="B306" t="s">
        <v>141</v>
      </c>
      <c r="C306" t="s">
        <v>142</v>
      </c>
      <c r="D306" t="s">
        <v>77</v>
      </c>
      <c r="E306" t="s">
        <v>35</v>
      </c>
      <c r="F306" t="s">
        <v>36</v>
      </c>
      <c r="G306">
        <v>3</v>
      </c>
      <c r="H306" t="s">
        <v>833</v>
      </c>
      <c r="I306" t="s">
        <v>114</v>
      </c>
      <c r="J306" t="s">
        <v>921</v>
      </c>
      <c r="K306" t="s">
        <v>922</v>
      </c>
      <c r="L306" t="s">
        <v>1387</v>
      </c>
      <c r="M306">
        <v>4</v>
      </c>
      <c r="N306">
        <v>1</v>
      </c>
      <c r="O306" t="s">
        <v>978</v>
      </c>
      <c r="P306" t="s">
        <v>40</v>
      </c>
      <c r="Q306" t="s">
        <v>40</v>
      </c>
      <c r="R306" t="s">
        <v>836</v>
      </c>
      <c r="T306" t="s">
        <v>974</v>
      </c>
      <c r="U306" t="s">
        <v>226</v>
      </c>
      <c r="V306" t="s">
        <v>43</v>
      </c>
      <c r="W306" t="s">
        <v>43</v>
      </c>
      <c r="Y306" t="s">
        <v>748</v>
      </c>
      <c r="Z306" t="s">
        <v>45</v>
      </c>
      <c r="AA306" t="s">
        <v>146</v>
      </c>
      <c r="AB306" t="s">
        <v>43</v>
      </c>
      <c r="AC306" t="s">
        <v>43</v>
      </c>
      <c r="AD306" t="s">
        <v>43</v>
      </c>
      <c r="AE306" t="s">
        <v>43</v>
      </c>
      <c r="AF306" t="str">
        <f>AA306</f>
        <v>Neuenstadt Rasen, Cleversulzbacher Str. 89, 74196 Neuenstadt am Kocher</v>
      </c>
      <c r="AG306" t="str">
        <f>TRIM(MID(AF306, FIND(", ", AF306)+2, FIND(", ", AF306, FIND(", ", AF306)+1) - FIND(", ", AF306) - 2))</f>
        <v>Cleversulzbacher Str. 89</v>
      </c>
      <c r="AH306" t="str">
        <f>_xlfn.TEXTBEFORE(_xlfn.TEXTAFTER(AF306, ", ", 2), " ")</f>
        <v>74196</v>
      </c>
      <c r="AI306" t="str">
        <f>_xlfn.TEXTAFTER(_xlfn.TEXTAFTER(AF306, ", ", 2), " ")</f>
        <v>Neuenstadt am Kocher</v>
      </c>
    </row>
    <row r="307" spans="1:35" x14ac:dyDescent="0.2">
      <c r="A307" t="str">
        <f>B307&amp;C307&amp;H307&amp;N307</f>
        <v>35001000Spvgg OedheimD-Junioren2</v>
      </c>
      <c r="B307" t="s">
        <v>381</v>
      </c>
      <c r="C307" t="s">
        <v>382</v>
      </c>
      <c r="D307" t="s">
        <v>77</v>
      </c>
      <c r="E307" t="s">
        <v>35</v>
      </c>
      <c r="F307" t="s">
        <v>36</v>
      </c>
      <c r="G307">
        <v>3</v>
      </c>
      <c r="H307" t="s">
        <v>833</v>
      </c>
      <c r="I307" t="s">
        <v>114</v>
      </c>
      <c r="J307" t="s">
        <v>921</v>
      </c>
      <c r="K307" t="s">
        <v>922</v>
      </c>
      <c r="L307" t="s">
        <v>1387</v>
      </c>
      <c r="M307">
        <v>6</v>
      </c>
      <c r="N307">
        <v>2</v>
      </c>
      <c r="O307" t="s">
        <v>979</v>
      </c>
      <c r="P307" t="s">
        <v>40</v>
      </c>
      <c r="Q307" t="s">
        <v>53</v>
      </c>
      <c r="R307" t="s">
        <v>836</v>
      </c>
      <c r="U307" t="s">
        <v>226</v>
      </c>
      <c r="V307" t="s">
        <v>43</v>
      </c>
      <c r="W307" t="s">
        <v>43</v>
      </c>
      <c r="Y307" t="s">
        <v>980</v>
      </c>
      <c r="Z307" t="s">
        <v>45</v>
      </c>
      <c r="AA307" t="s">
        <v>857</v>
      </c>
      <c r="AB307" t="s">
        <v>43</v>
      </c>
      <c r="AC307" t="s">
        <v>43</v>
      </c>
      <c r="AD307" t="s">
        <v>43</v>
      </c>
      <c r="AE307" t="s">
        <v>43</v>
      </c>
      <c r="AF307" t="str">
        <f>AA307</f>
        <v>Oedheim Kunstrasen, Mörikestr. 37, 74229 Oedheim</v>
      </c>
      <c r="AG307" t="str">
        <f>TRIM(MID(AF307, FIND(", ", AF307)+2, FIND(", ", AF307, FIND(", ", AF307)+1) - FIND(", ", AF307) - 2))</f>
        <v>Mörikestr. 37</v>
      </c>
      <c r="AH307" t="str">
        <f>_xlfn.TEXTBEFORE(_xlfn.TEXTAFTER(AF307, ", ", 2), " ")</f>
        <v>74229</v>
      </c>
      <c r="AI307" t="str">
        <f>_xlfn.TEXTAFTER(_xlfn.TEXTAFTER(AF307, ", ", 2), " ")</f>
        <v>Oedheim</v>
      </c>
    </row>
    <row r="308" spans="1:35" x14ac:dyDescent="0.2">
      <c r="A308" t="str">
        <f>B308&amp;C308&amp;H308&amp;N308</f>
        <v>35001400Spfr UntergriesheimD-Junioren1</v>
      </c>
      <c r="B308" t="s">
        <v>929</v>
      </c>
      <c r="C308" t="s">
        <v>930</v>
      </c>
      <c r="D308" t="s">
        <v>77</v>
      </c>
      <c r="E308" t="s">
        <v>35</v>
      </c>
      <c r="F308" t="s">
        <v>36</v>
      </c>
      <c r="G308">
        <v>3</v>
      </c>
      <c r="H308" t="s">
        <v>833</v>
      </c>
      <c r="I308" t="s">
        <v>844</v>
      </c>
      <c r="J308" t="s">
        <v>921</v>
      </c>
      <c r="K308" t="s">
        <v>922</v>
      </c>
      <c r="L308" t="s">
        <v>1387</v>
      </c>
      <c r="M308">
        <v>1</v>
      </c>
      <c r="N308">
        <v>1</v>
      </c>
      <c r="O308" t="s">
        <v>931</v>
      </c>
      <c r="P308" t="s">
        <v>40</v>
      </c>
      <c r="Q308" t="s">
        <v>53</v>
      </c>
      <c r="R308" t="s">
        <v>836</v>
      </c>
      <c r="T308" t="s">
        <v>837</v>
      </c>
      <c r="U308" t="s">
        <v>118</v>
      </c>
      <c r="V308" t="s">
        <v>43</v>
      </c>
      <c r="W308" t="s">
        <v>43</v>
      </c>
      <c r="X308" t="s">
        <v>853</v>
      </c>
      <c r="Y308" s="4" t="s">
        <v>932</v>
      </c>
      <c r="Z308" t="s">
        <v>45</v>
      </c>
      <c r="AA308" t="s">
        <v>933</v>
      </c>
      <c r="AB308" t="s">
        <v>43</v>
      </c>
      <c r="AC308" t="s">
        <v>43</v>
      </c>
      <c r="AD308" t="s">
        <v>43</v>
      </c>
      <c r="AE308" t="s">
        <v>43</v>
      </c>
      <c r="AF308" t="str">
        <f>AA308</f>
        <v>Untergriesheim Rasen, Austr., 74177 Bad Friedrichshall-Untergriesheim</v>
      </c>
      <c r="AG308" t="str">
        <f>TRIM(MID(AF308, FIND(", ", AF308)+2, FIND(", ", AF308, FIND(", ", AF308)+1) - FIND(", ", AF308) - 2))</f>
        <v>Austr.</v>
      </c>
      <c r="AH308" t="str">
        <f>_xlfn.TEXTBEFORE(_xlfn.TEXTAFTER(AF308, ", ", 2), " ")</f>
        <v>74177</v>
      </c>
      <c r="AI308" t="str">
        <f>_xlfn.TEXTAFTER(_xlfn.TEXTAFTER(AF308, ", ", 2), " ")</f>
        <v>Bad Friedrichshall-Untergriesheim</v>
      </c>
    </row>
    <row r="309" spans="1:35" x14ac:dyDescent="0.2">
      <c r="A309" t="str">
        <f>B309&amp;C309&amp;H309&amp;N309</f>
        <v>35000201SV BonfeldD-Junioren1</v>
      </c>
      <c r="B309" t="s">
        <v>243</v>
      </c>
      <c r="C309" t="s">
        <v>244</v>
      </c>
      <c r="D309" t="s">
        <v>34</v>
      </c>
      <c r="E309" t="s">
        <v>35</v>
      </c>
      <c r="F309" t="s">
        <v>36</v>
      </c>
      <c r="G309">
        <v>3</v>
      </c>
      <c r="H309" t="s">
        <v>833</v>
      </c>
      <c r="I309" t="s">
        <v>844</v>
      </c>
      <c r="J309" t="s">
        <v>921</v>
      </c>
      <c r="K309" t="s">
        <v>935</v>
      </c>
      <c r="L309" t="s">
        <v>1385</v>
      </c>
      <c r="M309">
        <v>3</v>
      </c>
      <c r="N309">
        <v>1</v>
      </c>
      <c r="O309" t="s">
        <v>952</v>
      </c>
      <c r="P309" t="s">
        <v>40</v>
      </c>
      <c r="Q309" t="s">
        <v>53</v>
      </c>
      <c r="R309" t="s">
        <v>836</v>
      </c>
      <c r="T309" t="s">
        <v>837</v>
      </c>
      <c r="U309" t="s">
        <v>118</v>
      </c>
      <c r="V309" t="s">
        <v>43</v>
      </c>
      <c r="W309" t="s">
        <v>43</v>
      </c>
      <c r="Y309" t="s">
        <v>43</v>
      </c>
      <c r="Z309" t="s">
        <v>45</v>
      </c>
      <c r="AA309" t="s">
        <v>953</v>
      </c>
      <c r="AB309" t="s">
        <v>43</v>
      </c>
      <c r="AC309" t="s">
        <v>43</v>
      </c>
      <c r="AD309" t="s">
        <v>43</v>
      </c>
      <c r="AE309" t="s">
        <v>43</v>
      </c>
      <c r="AF309" t="str">
        <f>AA309</f>
        <v>Bonfeld Rasen 1, Im Bisland 6, 74906 Bad Rappenau-Bonfeld</v>
      </c>
      <c r="AG309" t="str">
        <f>TRIM(MID(AF309, FIND(", ", AF309)+2, FIND(", ", AF309, FIND(", ", AF309)+1) - FIND(", ", AF309) - 2))</f>
        <v>Im Bisland 6</v>
      </c>
      <c r="AH309" t="str">
        <f>_xlfn.TEXTBEFORE(_xlfn.TEXTAFTER(AF309, ", ", 2), " ")</f>
        <v>74906</v>
      </c>
      <c r="AI309" t="str">
        <f>_xlfn.TEXTAFTER(_xlfn.TEXTAFTER(AF309, ", ", 2), " ")</f>
        <v>Bad Rappenau-Bonfeld</v>
      </c>
    </row>
    <row r="310" spans="1:35" x14ac:dyDescent="0.2">
      <c r="A310" t="str">
        <f>B310&amp;C310&amp;H310&amp;N310</f>
        <v>35000311VfL EberstadtD-Junioren1</v>
      </c>
      <c r="B310" t="s">
        <v>458</v>
      </c>
      <c r="C310" t="s">
        <v>459</v>
      </c>
      <c r="D310" t="s">
        <v>34</v>
      </c>
      <c r="E310" t="s">
        <v>35</v>
      </c>
      <c r="F310" t="s">
        <v>36</v>
      </c>
      <c r="G310">
        <v>3</v>
      </c>
      <c r="H310" t="s">
        <v>833</v>
      </c>
      <c r="I310" t="s">
        <v>844</v>
      </c>
      <c r="J310" t="s">
        <v>921</v>
      </c>
      <c r="K310" t="s">
        <v>935</v>
      </c>
      <c r="L310" t="s">
        <v>1385</v>
      </c>
      <c r="M310">
        <v>1</v>
      </c>
      <c r="N310">
        <v>1</v>
      </c>
      <c r="O310" t="s">
        <v>936</v>
      </c>
      <c r="P310" t="s">
        <v>40</v>
      </c>
      <c r="Q310" t="s">
        <v>53</v>
      </c>
      <c r="R310" t="s">
        <v>836</v>
      </c>
      <c r="T310" t="s">
        <v>837</v>
      </c>
      <c r="U310" t="s">
        <v>118</v>
      </c>
      <c r="V310" t="s">
        <v>43</v>
      </c>
      <c r="W310" t="s">
        <v>43</v>
      </c>
      <c r="Y310" t="s">
        <v>43</v>
      </c>
      <c r="Z310" t="s">
        <v>45</v>
      </c>
      <c r="AA310" t="s">
        <v>461</v>
      </c>
      <c r="AB310" t="s">
        <v>43</v>
      </c>
      <c r="AC310" t="s">
        <v>43</v>
      </c>
      <c r="AD310" t="s">
        <v>43</v>
      </c>
      <c r="AE310" t="s">
        <v>43</v>
      </c>
      <c r="AF310" t="str">
        <f>AA310</f>
        <v>Eberstadt Rasen 1, Am Schmalbach, 74246 Eberstadt</v>
      </c>
      <c r="AG310" t="str">
        <f>TRIM(MID(AF310, FIND(", ", AF310)+2, FIND(", ", AF310, FIND(", ", AF310)+1) - FIND(", ", AF310) - 2))</f>
        <v>Am Schmalbach</v>
      </c>
      <c r="AH310" t="str">
        <f>_xlfn.TEXTBEFORE(_xlfn.TEXTAFTER(AF310, ", ", 2), " ")</f>
        <v>74246</v>
      </c>
      <c r="AI310" t="str">
        <f>_xlfn.TEXTAFTER(_xlfn.TEXTAFTER(AF310, ", ", 2), " ")</f>
        <v>Eberstadt</v>
      </c>
    </row>
    <row r="311" spans="1:35" x14ac:dyDescent="0.2">
      <c r="A311" t="str">
        <f>B311&amp;C311&amp;H311&amp;N311</f>
        <v>35000370TSV ErlenbachD-Junioren1</v>
      </c>
      <c r="B311" t="s">
        <v>701</v>
      </c>
      <c r="C311" t="s">
        <v>702</v>
      </c>
      <c r="D311" t="s">
        <v>34</v>
      </c>
      <c r="E311" t="s">
        <v>35</v>
      </c>
      <c r="F311" t="s">
        <v>36</v>
      </c>
      <c r="G311">
        <v>3</v>
      </c>
      <c r="H311" t="s">
        <v>833</v>
      </c>
      <c r="I311" t="s">
        <v>114</v>
      </c>
      <c r="J311" t="s">
        <v>921</v>
      </c>
      <c r="K311" t="s">
        <v>935</v>
      </c>
      <c r="L311" t="s">
        <v>1385</v>
      </c>
      <c r="M311">
        <v>7</v>
      </c>
      <c r="N311">
        <v>1</v>
      </c>
      <c r="O311" t="s">
        <v>981</v>
      </c>
      <c r="P311" t="s">
        <v>40</v>
      </c>
      <c r="Q311" t="s">
        <v>40</v>
      </c>
      <c r="R311" t="s">
        <v>836</v>
      </c>
      <c r="T311" t="s">
        <v>837</v>
      </c>
      <c r="U311" t="s">
        <v>226</v>
      </c>
      <c r="V311" t="s">
        <v>43</v>
      </c>
      <c r="W311" t="s">
        <v>43</v>
      </c>
      <c r="X311" t="s">
        <v>982</v>
      </c>
      <c r="Y311" s="4" t="s">
        <v>983</v>
      </c>
      <c r="Z311" t="s">
        <v>45</v>
      </c>
      <c r="AA311" t="s">
        <v>704</v>
      </c>
      <c r="AB311" t="s">
        <v>43</v>
      </c>
      <c r="AC311" t="s">
        <v>43</v>
      </c>
      <c r="AD311" t="s">
        <v>43</v>
      </c>
      <c r="AE311" t="s">
        <v>43</v>
      </c>
      <c r="AF311" t="str">
        <f>AA311</f>
        <v>Erlenbach Kunstrasen, Talstr. 21, 74235 Erlenbach-Zentrum</v>
      </c>
      <c r="AG311" t="str">
        <f>TRIM(MID(AF311, FIND(", ", AF311)+2, FIND(", ", AF311, FIND(", ", AF311)+1) - FIND(", ", AF311) - 2))</f>
        <v>Talstr. 21</v>
      </c>
      <c r="AH311" t="str">
        <f>_xlfn.TEXTBEFORE(_xlfn.TEXTAFTER(AF311, ", ", 2), " ")</f>
        <v>74235</v>
      </c>
      <c r="AI311" t="str">
        <f>_xlfn.TEXTAFTER(_xlfn.TEXTAFTER(AF311, ", ", 2), " ")</f>
        <v>Erlenbach-Zentrum</v>
      </c>
    </row>
    <row r="312" spans="1:35" x14ac:dyDescent="0.2">
      <c r="A312" t="str">
        <f>B312&amp;C312&amp;H312&amp;N312</f>
        <v>35000411Sportverein Heilbronn am Leinbach 1891D-Junioren3</v>
      </c>
      <c r="B312" t="s">
        <v>223</v>
      </c>
      <c r="C312" t="s">
        <v>224</v>
      </c>
      <c r="D312" t="s">
        <v>34</v>
      </c>
      <c r="E312" t="s">
        <v>35</v>
      </c>
      <c r="F312" t="s">
        <v>36</v>
      </c>
      <c r="G312">
        <v>3</v>
      </c>
      <c r="H312" t="s">
        <v>833</v>
      </c>
      <c r="I312" t="s">
        <v>114</v>
      </c>
      <c r="J312" t="s">
        <v>921</v>
      </c>
      <c r="K312" t="s">
        <v>935</v>
      </c>
      <c r="L312" t="s">
        <v>1385</v>
      </c>
      <c r="M312">
        <v>6</v>
      </c>
      <c r="N312">
        <v>3</v>
      </c>
      <c r="O312" t="s">
        <v>707</v>
      </c>
      <c r="P312" t="s">
        <v>40</v>
      </c>
      <c r="Q312" t="s">
        <v>40</v>
      </c>
      <c r="R312" t="s">
        <v>836</v>
      </c>
      <c r="T312" t="s">
        <v>837</v>
      </c>
      <c r="U312" t="s">
        <v>226</v>
      </c>
      <c r="V312" t="s">
        <v>43</v>
      </c>
      <c r="W312" t="s">
        <v>43</v>
      </c>
      <c r="Y312" t="s">
        <v>43</v>
      </c>
      <c r="Z312" t="s">
        <v>45</v>
      </c>
      <c r="AA312" t="s">
        <v>403</v>
      </c>
      <c r="AB312" t="s">
        <v>43</v>
      </c>
      <c r="AC312" t="s">
        <v>43</v>
      </c>
      <c r="AD312" t="s">
        <v>43</v>
      </c>
      <c r="AE312" t="s">
        <v>43</v>
      </c>
      <c r="AF312" t="str">
        <f>AA312</f>
        <v>Frankenbach Kunstrasen, Riedweg 52, 74078 Heilbronn-Frankenbach</v>
      </c>
      <c r="AG312" t="str">
        <f>TRIM(MID(AF312, FIND(", ", AF312)+2, FIND(", ", AF312, FIND(", ", AF312)+1) - FIND(", ", AF312) - 2))</f>
        <v>Riedweg 52</v>
      </c>
      <c r="AH312" t="str">
        <f>_xlfn.TEXTBEFORE(_xlfn.TEXTAFTER(AF312, ", ", 2), " ")</f>
        <v>74078</v>
      </c>
      <c r="AI312" t="str">
        <f>_xlfn.TEXTAFTER(_xlfn.TEXTAFTER(AF312, ", ", 2), " ")</f>
        <v>Heilbronn-Frankenbach</v>
      </c>
    </row>
    <row r="313" spans="1:35" x14ac:dyDescent="0.2">
      <c r="A313" t="str">
        <f>B313&amp;C313&amp;H313&amp;N313</f>
        <v>35000716FC KirchhausenD-Junioren1</v>
      </c>
      <c r="B313" t="s">
        <v>137</v>
      </c>
      <c r="C313" t="s">
        <v>138</v>
      </c>
      <c r="D313" t="s">
        <v>34</v>
      </c>
      <c r="E313" t="s">
        <v>35</v>
      </c>
      <c r="F313" t="s">
        <v>36</v>
      </c>
      <c r="G313">
        <v>3</v>
      </c>
      <c r="H313" t="s">
        <v>833</v>
      </c>
      <c r="I313" t="s">
        <v>114</v>
      </c>
      <c r="J313" t="s">
        <v>921</v>
      </c>
      <c r="K313" t="s">
        <v>935</v>
      </c>
      <c r="L313" t="s">
        <v>1385</v>
      </c>
      <c r="M313">
        <v>2</v>
      </c>
      <c r="N313">
        <v>1</v>
      </c>
      <c r="O313" t="s">
        <v>138</v>
      </c>
      <c r="P313" t="s">
        <v>40</v>
      </c>
      <c r="Q313" t="s">
        <v>53</v>
      </c>
      <c r="R313" t="s">
        <v>836</v>
      </c>
      <c r="T313" t="s">
        <v>837</v>
      </c>
      <c r="U313" t="s">
        <v>118</v>
      </c>
      <c r="V313" t="s">
        <v>43</v>
      </c>
      <c r="W313" t="s">
        <v>43</v>
      </c>
      <c r="Y313" t="s">
        <v>43</v>
      </c>
      <c r="Z313" t="s">
        <v>45</v>
      </c>
      <c r="AA313" t="s">
        <v>140</v>
      </c>
      <c r="AB313" t="s">
        <v>43</v>
      </c>
      <c r="AC313" t="s">
        <v>43</v>
      </c>
      <c r="AD313" t="s">
        <v>43</v>
      </c>
      <c r="AE313" t="s">
        <v>43</v>
      </c>
      <c r="AF313" t="str">
        <f>AA313</f>
        <v>Kirchhausen Kunstrasenplatz, Steinbrünnleswiesen 1, 74078 Heilbronn-Kirchhausen</v>
      </c>
      <c r="AG313" t="str">
        <f>TRIM(MID(AF313, FIND(", ", AF313)+2, FIND(", ", AF313, FIND(", ", AF313)+1) - FIND(", ", AF313) - 2))</f>
        <v>Steinbrünnleswiesen 1</v>
      </c>
      <c r="AH313" t="str">
        <f>_xlfn.TEXTBEFORE(_xlfn.TEXTAFTER(AF313, ", ", 2), " ")</f>
        <v>74078</v>
      </c>
      <c r="AI313" t="str">
        <f>_xlfn.TEXTAFTER(_xlfn.TEXTAFTER(AF313, ", ", 2), " ")</f>
        <v>Heilbronn-Kirchhausen</v>
      </c>
    </row>
    <row r="314" spans="1:35" x14ac:dyDescent="0.2">
      <c r="A314" t="str">
        <f>B314&amp;C314&amp;H314&amp;N314</f>
        <v>35001490TSV WeinsbergD-Junioren1</v>
      </c>
      <c r="B314" t="s">
        <v>235</v>
      </c>
      <c r="C314" t="s">
        <v>236</v>
      </c>
      <c r="D314" t="s">
        <v>34</v>
      </c>
      <c r="E314" t="s">
        <v>35</v>
      </c>
      <c r="F314" t="s">
        <v>36</v>
      </c>
      <c r="G314">
        <v>3</v>
      </c>
      <c r="H314" t="s">
        <v>833</v>
      </c>
      <c r="I314" t="s">
        <v>844</v>
      </c>
      <c r="J314" t="s">
        <v>921</v>
      </c>
      <c r="K314" t="s">
        <v>935</v>
      </c>
      <c r="L314" t="s">
        <v>1385</v>
      </c>
      <c r="M314">
        <v>8</v>
      </c>
      <c r="N314">
        <v>1</v>
      </c>
      <c r="O314" t="s">
        <v>941</v>
      </c>
      <c r="P314" t="s">
        <v>40</v>
      </c>
      <c r="Q314" t="s">
        <v>40</v>
      </c>
      <c r="R314" t="s">
        <v>836</v>
      </c>
      <c r="U314" t="s">
        <v>118</v>
      </c>
      <c r="V314" t="s">
        <v>43</v>
      </c>
      <c r="W314" t="s">
        <v>43</v>
      </c>
      <c r="Y314" t="s">
        <v>43</v>
      </c>
      <c r="Z314" t="s">
        <v>45</v>
      </c>
      <c r="AA314" t="s">
        <v>465</v>
      </c>
      <c r="AB314" t="s">
        <v>43</v>
      </c>
      <c r="AC314" t="s">
        <v>43</v>
      </c>
      <c r="AD314" t="s">
        <v>43</v>
      </c>
      <c r="AE314" t="s">
        <v>43</v>
      </c>
      <c r="AF314" t="str">
        <f>AA314</f>
        <v>Weinsberg Rasen 1, Rappenhofweg, 74189 Weinsberg-Zentrum</v>
      </c>
      <c r="AG314" t="str">
        <f>TRIM(MID(AF314, FIND(", ", AF314)+2, FIND(", ", AF314, FIND(", ", AF314)+1) - FIND(", ", AF314) - 2))</f>
        <v>Rappenhofweg</v>
      </c>
      <c r="AH314" t="str">
        <f>_xlfn.TEXTBEFORE(_xlfn.TEXTAFTER(AF314, ", ", 2), " ")</f>
        <v>74189</v>
      </c>
      <c r="AI314" t="str">
        <f>_xlfn.TEXTAFTER(_xlfn.TEXTAFTER(AF314, ", ", 2), " ")</f>
        <v>Weinsberg-Zentrum</v>
      </c>
    </row>
    <row r="315" spans="1:35" x14ac:dyDescent="0.2">
      <c r="A315" t="str">
        <f>B315&amp;C315&amp;H315&amp;N315</f>
        <v>35001520TSV WillsbachD-Junioren1</v>
      </c>
      <c r="B315" t="s">
        <v>651</v>
      </c>
      <c r="C315" t="s">
        <v>652</v>
      </c>
      <c r="D315" t="s">
        <v>34</v>
      </c>
      <c r="E315" t="s">
        <v>35</v>
      </c>
      <c r="F315" t="s">
        <v>36</v>
      </c>
      <c r="G315">
        <v>3</v>
      </c>
      <c r="H315" t="s">
        <v>833</v>
      </c>
      <c r="I315" t="s">
        <v>844</v>
      </c>
      <c r="J315" t="s">
        <v>921</v>
      </c>
      <c r="K315" t="s">
        <v>935</v>
      </c>
      <c r="L315" t="s">
        <v>1385</v>
      </c>
      <c r="M315">
        <v>5</v>
      </c>
      <c r="N315">
        <v>1</v>
      </c>
      <c r="O315" t="s">
        <v>653</v>
      </c>
      <c r="P315" t="s">
        <v>40</v>
      </c>
      <c r="Q315" t="s">
        <v>53</v>
      </c>
      <c r="R315" t="s">
        <v>836</v>
      </c>
      <c r="T315" t="s">
        <v>837</v>
      </c>
      <c r="U315" t="s">
        <v>118</v>
      </c>
      <c r="V315" t="s">
        <v>43</v>
      </c>
      <c r="W315" t="s">
        <v>43</v>
      </c>
      <c r="Y315" t="s">
        <v>43</v>
      </c>
      <c r="Z315" t="s">
        <v>45</v>
      </c>
      <c r="AA315" t="s">
        <v>654</v>
      </c>
      <c r="AB315" t="s">
        <v>43</v>
      </c>
      <c r="AC315" t="s">
        <v>43</v>
      </c>
      <c r="AD315" t="s">
        <v>43</v>
      </c>
      <c r="AE315" t="s">
        <v>43</v>
      </c>
      <c r="AF315" t="str">
        <f>AA315</f>
        <v>Willsbach Rasen, Bahnhoffußweg 21, 74182 Obersulm-Willsbach</v>
      </c>
      <c r="AG315" t="str">
        <f>TRIM(MID(AF315, FIND(", ", AF315)+2, FIND(", ", AF315, FIND(", ", AF315)+1) - FIND(", ", AF315) - 2))</f>
        <v>Bahnhoffußweg 21</v>
      </c>
      <c r="AH315" t="str">
        <f>_xlfn.TEXTBEFORE(_xlfn.TEXTAFTER(AF315, ", ", 2), " ")</f>
        <v>74182</v>
      </c>
      <c r="AI315" t="str">
        <f>_xlfn.TEXTAFTER(_xlfn.TEXTAFTER(AF315, ", ", 2), " ")</f>
        <v>Obersulm-Willsbach</v>
      </c>
    </row>
    <row r="316" spans="1:35" x14ac:dyDescent="0.2">
      <c r="A316" t="str">
        <f>B316&amp;C316&amp;H316&amp;N316</f>
        <v>35000212TSG Bretzfeld-RappachD-Junioren1</v>
      </c>
      <c r="B316" t="s">
        <v>937</v>
      </c>
      <c r="C316" t="s">
        <v>938</v>
      </c>
      <c r="D316" t="s">
        <v>66</v>
      </c>
      <c r="E316" t="s">
        <v>35</v>
      </c>
      <c r="F316" s="4" t="s">
        <v>36</v>
      </c>
      <c r="G316">
        <v>3</v>
      </c>
      <c r="H316" t="s">
        <v>833</v>
      </c>
      <c r="I316" t="s">
        <v>844</v>
      </c>
      <c r="J316" t="s">
        <v>921</v>
      </c>
      <c r="K316" t="s">
        <v>935</v>
      </c>
      <c r="L316" t="s">
        <v>1385</v>
      </c>
      <c r="M316">
        <v>4</v>
      </c>
      <c r="N316">
        <v>1</v>
      </c>
      <c r="O316" t="s">
        <v>938</v>
      </c>
      <c r="P316" t="s">
        <v>40</v>
      </c>
      <c r="Q316" t="s">
        <v>53</v>
      </c>
      <c r="R316" t="s">
        <v>836</v>
      </c>
      <c r="T316" t="s">
        <v>837</v>
      </c>
      <c r="U316" t="s">
        <v>118</v>
      </c>
      <c r="V316" t="s">
        <v>43</v>
      </c>
      <c r="W316" t="s">
        <v>43</v>
      </c>
      <c r="Y316" t="s">
        <v>939</v>
      </c>
      <c r="Z316" t="s">
        <v>45</v>
      </c>
      <c r="AA316" t="s">
        <v>940</v>
      </c>
      <c r="AB316" t="s">
        <v>43</v>
      </c>
      <c r="AC316" t="s">
        <v>43</v>
      </c>
      <c r="AD316" t="s">
        <v>43</v>
      </c>
      <c r="AE316" t="s">
        <v>43</v>
      </c>
      <c r="AF316" t="str">
        <f>AA316</f>
        <v>Stadion TSG Bretzfeld/Rappach, Einsteinstr. 19, 74626 Bretzfeld-Zentrum</v>
      </c>
      <c r="AG316" t="str">
        <f>TRIM(MID(AF316, FIND(", ", AF316)+2, FIND(", ", AF316, FIND(", ", AF316)+1) - FIND(", ", AF316) - 2))</f>
        <v>Einsteinstr. 19</v>
      </c>
      <c r="AH316" t="str">
        <f>_xlfn.TEXTBEFORE(_xlfn.TEXTAFTER(AF316, ", ", 2), " ")</f>
        <v>74626</v>
      </c>
      <c r="AI316" t="str">
        <f>_xlfn.TEXTAFTER(_xlfn.TEXTAFTER(AF316, ", ", 2), " ")</f>
        <v>Bretzfeld-Zentrum</v>
      </c>
    </row>
    <row r="317" spans="1:35" x14ac:dyDescent="0.2">
      <c r="A317" t="str">
        <f>B317&amp;C317&amp;H317&amp;N317</f>
        <v>35000079SSV AuensteinD-Junioren1</v>
      </c>
      <c r="B317" t="s">
        <v>271</v>
      </c>
      <c r="C317" t="s">
        <v>272</v>
      </c>
      <c r="D317" t="s">
        <v>34</v>
      </c>
      <c r="E317" t="s">
        <v>35</v>
      </c>
      <c r="F317" t="s">
        <v>36</v>
      </c>
      <c r="G317">
        <v>3</v>
      </c>
      <c r="H317" t="s">
        <v>833</v>
      </c>
      <c r="I317" t="s">
        <v>114</v>
      </c>
      <c r="J317" t="s">
        <v>921</v>
      </c>
      <c r="K317" t="s">
        <v>942</v>
      </c>
      <c r="L317" t="s">
        <v>1381</v>
      </c>
      <c r="M317">
        <v>3</v>
      </c>
      <c r="N317">
        <v>1</v>
      </c>
      <c r="O317" t="s">
        <v>272</v>
      </c>
      <c r="P317" t="s">
        <v>40</v>
      </c>
      <c r="Q317" t="s">
        <v>53</v>
      </c>
      <c r="R317" t="s">
        <v>836</v>
      </c>
      <c r="T317" t="s">
        <v>837</v>
      </c>
      <c r="U317" t="s">
        <v>226</v>
      </c>
      <c r="V317" t="s">
        <v>43</v>
      </c>
      <c r="W317" t="s">
        <v>43</v>
      </c>
      <c r="X317" t="s">
        <v>984</v>
      </c>
      <c r="Y317" s="4" t="s">
        <v>274</v>
      </c>
      <c r="Z317" t="s">
        <v>45</v>
      </c>
      <c r="AA317" t="s">
        <v>275</v>
      </c>
      <c r="AB317" t="s">
        <v>43</v>
      </c>
      <c r="AC317" t="s">
        <v>43</v>
      </c>
      <c r="AD317" t="s">
        <v>43</v>
      </c>
      <c r="AE317" t="s">
        <v>43</v>
      </c>
      <c r="AF317" t="str">
        <f>AA317</f>
        <v>Auenstein Rasen 1 (Sportpark am Tiefenbach), Ochsenweg 1, 74360 Ilsfeld-Auenstein</v>
      </c>
      <c r="AG317" t="str">
        <f>TRIM(MID(AF317, FIND(", ", AF317)+2, FIND(", ", AF317, FIND(", ", AF317)+1) - FIND(", ", AF317) - 2))</f>
        <v>Ochsenweg 1</v>
      </c>
      <c r="AH317" t="str">
        <f>_xlfn.TEXTBEFORE(_xlfn.TEXTAFTER(AF317, ", ", 2), " ")</f>
        <v>74360</v>
      </c>
      <c r="AI317" t="str">
        <f>_xlfn.TEXTAFTER(_xlfn.TEXTAFTER(AF317, ", ", 2), " ")</f>
        <v>Ilsfeld-Auenstein</v>
      </c>
    </row>
    <row r="318" spans="1:35" x14ac:dyDescent="0.2">
      <c r="A318" t="str">
        <f>B318&amp;C318&amp;H318&amp;N318</f>
        <v>35000110TGV Eintracht BeilsteinD-Junioren1</v>
      </c>
      <c r="B318" t="s">
        <v>397</v>
      </c>
      <c r="C318" t="s">
        <v>398</v>
      </c>
      <c r="D318" t="s">
        <v>34</v>
      </c>
      <c r="E318" t="s">
        <v>35</v>
      </c>
      <c r="F318" t="s">
        <v>36</v>
      </c>
      <c r="G318">
        <v>3</v>
      </c>
      <c r="H318" t="s">
        <v>833</v>
      </c>
      <c r="I318" t="s">
        <v>844</v>
      </c>
      <c r="J318" t="s">
        <v>921</v>
      </c>
      <c r="K318" t="s">
        <v>942</v>
      </c>
      <c r="L318" t="s">
        <v>1381</v>
      </c>
      <c r="M318">
        <v>2</v>
      </c>
      <c r="N318">
        <v>1</v>
      </c>
      <c r="O318" t="s">
        <v>945</v>
      </c>
      <c r="P318" t="s">
        <v>40</v>
      </c>
      <c r="Q318" t="s">
        <v>53</v>
      </c>
      <c r="R318" t="s">
        <v>836</v>
      </c>
      <c r="T318" t="s">
        <v>849</v>
      </c>
      <c r="U318" t="s">
        <v>118</v>
      </c>
      <c r="V318" t="s">
        <v>43</v>
      </c>
      <c r="W318" t="s">
        <v>43</v>
      </c>
      <c r="X318" t="s">
        <v>853</v>
      </c>
      <c r="Y318" s="4" t="s">
        <v>946</v>
      </c>
      <c r="Z318" t="s">
        <v>45</v>
      </c>
      <c r="AA318" t="s">
        <v>947</v>
      </c>
      <c r="AB318" t="s">
        <v>43</v>
      </c>
      <c r="AC318" t="s">
        <v>43</v>
      </c>
      <c r="AD318" t="s">
        <v>43</v>
      </c>
      <c r="AE318" t="s">
        <v>43</v>
      </c>
      <c r="AF318" t="str">
        <f>AA318</f>
        <v>Beilstein Kunstrasen, Albert-Einstein-Str. 20, 71717 Beilstein-Zentrum</v>
      </c>
      <c r="AG318" t="str">
        <f>TRIM(MID(AF318, FIND(", ", AF318)+2, FIND(", ", AF318, FIND(", ", AF318)+1) - FIND(", ", AF318) - 2))</f>
        <v>Albert-Einstein-Str. 20</v>
      </c>
      <c r="AH318" t="str">
        <f>_xlfn.TEXTBEFORE(_xlfn.TEXTAFTER(AF318, ", ", 2), " ")</f>
        <v>71717</v>
      </c>
      <c r="AI318" t="str">
        <f>_xlfn.TEXTAFTER(_xlfn.TEXTAFTER(AF318, ", ", 2), " ")</f>
        <v>Beilstein-Zentrum</v>
      </c>
    </row>
    <row r="319" spans="1:35" x14ac:dyDescent="0.2">
      <c r="A319" t="str">
        <f>B319&amp;C319&amp;H319&amp;N319</f>
        <v>35000187TG BöckingenD-Junioren1</v>
      </c>
      <c r="B319" t="s">
        <v>229</v>
      </c>
      <c r="C319" t="s">
        <v>230</v>
      </c>
      <c r="D319" t="s">
        <v>34</v>
      </c>
      <c r="E319" t="s">
        <v>35</v>
      </c>
      <c r="F319" t="s">
        <v>36</v>
      </c>
      <c r="G319">
        <v>3</v>
      </c>
      <c r="H319" t="s">
        <v>833</v>
      </c>
      <c r="I319" t="s">
        <v>844</v>
      </c>
      <c r="J319" t="s">
        <v>921</v>
      </c>
      <c r="K319" t="s">
        <v>942</v>
      </c>
      <c r="L319" t="s">
        <v>1381</v>
      </c>
      <c r="M319">
        <v>1</v>
      </c>
      <c r="N319">
        <v>1</v>
      </c>
      <c r="O319" t="s">
        <v>944</v>
      </c>
      <c r="P319" t="s">
        <v>40</v>
      </c>
      <c r="Q319" t="s">
        <v>53</v>
      </c>
      <c r="R319" t="s">
        <v>836</v>
      </c>
      <c r="T319" t="s">
        <v>837</v>
      </c>
      <c r="U319" t="s">
        <v>118</v>
      </c>
      <c r="V319" t="s">
        <v>43</v>
      </c>
      <c r="W319" t="s">
        <v>43</v>
      </c>
      <c r="Y319" t="s">
        <v>43</v>
      </c>
      <c r="Z319" t="s">
        <v>45</v>
      </c>
      <c r="AA319" t="s">
        <v>231</v>
      </c>
      <c r="AB319" t="s">
        <v>43</v>
      </c>
      <c r="AC319" t="s">
        <v>43</v>
      </c>
      <c r="AD319" t="s">
        <v>43</v>
      </c>
      <c r="AE319" t="s">
        <v>43</v>
      </c>
      <c r="AF319" t="str">
        <f>AA319</f>
        <v>Böckingen (TG) Viehweide Kunstrasen, Viehweide 20, 74080 Heilbronn-Böckingen</v>
      </c>
      <c r="AG319" t="str">
        <f>TRIM(MID(AF319, FIND(", ", AF319)+2, FIND(", ", AF319, FIND(", ", AF319)+1) - FIND(", ", AF319) - 2))</f>
        <v>Viehweide 20</v>
      </c>
      <c r="AH319" t="str">
        <f>_xlfn.TEXTBEFORE(_xlfn.TEXTAFTER(AF319, ", ", 2), " ")</f>
        <v>74080</v>
      </c>
      <c r="AI319" t="str">
        <f>_xlfn.TEXTAFTER(_xlfn.TEXTAFTER(AF319, ", ", 2), " ")</f>
        <v>Heilbronn-Böckingen</v>
      </c>
    </row>
    <row r="320" spans="1:35" x14ac:dyDescent="0.2">
      <c r="A320" t="str">
        <f>B320&amp;C320&amp;H320&amp;N320</f>
        <v>35000404TV FleinD-Junioren2</v>
      </c>
      <c r="B320" t="s">
        <v>109</v>
      </c>
      <c r="C320" t="s">
        <v>110</v>
      </c>
      <c r="D320" t="s">
        <v>34</v>
      </c>
      <c r="E320" t="s">
        <v>35</v>
      </c>
      <c r="F320" t="s">
        <v>36</v>
      </c>
      <c r="G320">
        <v>3</v>
      </c>
      <c r="H320" t="s">
        <v>833</v>
      </c>
      <c r="I320" t="s">
        <v>114</v>
      </c>
      <c r="J320" t="s">
        <v>921</v>
      </c>
      <c r="K320" t="s">
        <v>942</v>
      </c>
      <c r="L320" t="s">
        <v>1381</v>
      </c>
      <c r="M320">
        <v>8</v>
      </c>
      <c r="N320">
        <v>2</v>
      </c>
      <c r="O320" t="s">
        <v>990</v>
      </c>
      <c r="P320" t="s">
        <v>40</v>
      </c>
      <c r="Q320" t="s">
        <v>53</v>
      </c>
      <c r="R320" t="s">
        <v>836</v>
      </c>
      <c r="S320" t="s">
        <v>910</v>
      </c>
      <c r="T320" t="s">
        <v>974</v>
      </c>
      <c r="U320" t="s">
        <v>226</v>
      </c>
      <c r="V320" t="s">
        <v>43</v>
      </c>
      <c r="W320" t="s">
        <v>43</v>
      </c>
      <c r="Y320" t="s">
        <v>226</v>
      </c>
      <c r="Z320" t="s">
        <v>45</v>
      </c>
      <c r="AA320" t="s">
        <v>911</v>
      </c>
      <c r="AB320" t="s">
        <v>43</v>
      </c>
      <c r="AC320" t="s">
        <v>43</v>
      </c>
      <c r="AD320" t="s">
        <v>43</v>
      </c>
      <c r="AE320" t="s">
        <v>43</v>
      </c>
      <c r="AF320" t="str">
        <f>AA320</f>
        <v>Flein Kunstrasen (Flutlicht), Talheimer Str. 1, 74223 Flein-Zentrum</v>
      </c>
      <c r="AG320" t="str">
        <f>TRIM(MID(AF320, FIND(", ", AF320)+2, FIND(", ", AF320, FIND(", ", AF320)+1) - FIND(", ", AF320) - 2))</f>
        <v>Talheimer Str. 1</v>
      </c>
      <c r="AH320" t="str">
        <f>_xlfn.TEXTBEFORE(_xlfn.TEXTAFTER(AF320, ", ", 2), " ")</f>
        <v>74223</v>
      </c>
      <c r="AI320" t="str">
        <f>_xlfn.TEXTAFTER(_xlfn.TEXTAFTER(AF320, ", ", 2), " ")</f>
        <v>Flein-Zentrum</v>
      </c>
    </row>
    <row r="321" spans="1:35" x14ac:dyDescent="0.2">
      <c r="A321" t="str">
        <f>B321&amp;C321&amp;H321&amp;N321</f>
        <v>35000777SV LeingartenD-Junioren2</v>
      </c>
      <c r="B321" t="s">
        <v>158</v>
      </c>
      <c r="C321" t="s">
        <v>159</v>
      </c>
      <c r="D321" t="s">
        <v>34</v>
      </c>
      <c r="E321" t="s">
        <v>35</v>
      </c>
      <c r="F321" t="s">
        <v>36</v>
      </c>
      <c r="G321">
        <v>3</v>
      </c>
      <c r="H321" t="s">
        <v>833</v>
      </c>
      <c r="I321" t="s">
        <v>114</v>
      </c>
      <c r="J321" t="s">
        <v>921</v>
      </c>
      <c r="K321" t="s">
        <v>942</v>
      </c>
      <c r="L321" t="s">
        <v>1381</v>
      </c>
      <c r="M321">
        <v>6</v>
      </c>
      <c r="N321">
        <v>2</v>
      </c>
      <c r="O321" t="s">
        <v>988</v>
      </c>
      <c r="P321" t="s">
        <v>40</v>
      </c>
      <c r="Q321" t="s">
        <v>40</v>
      </c>
      <c r="R321" t="s">
        <v>836</v>
      </c>
      <c r="S321" t="s">
        <v>989</v>
      </c>
      <c r="T321" t="s">
        <v>837</v>
      </c>
      <c r="U321" t="s">
        <v>226</v>
      </c>
      <c r="V321" t="s">
        <v>43</v>
      </c>
      <c r="W321" t="s">
        <v>43</v>
      </c>
      <c r="Y321" t="s">
        <v>43</v>
      </c>
      <c r="Z321" t="s">
        <v>45</v>
      </c>
      <c r="AA321" t="s">
        <v>63</v>
      </c>
      <c r="AB321" t="s">
        <v>43</v>
      </c>
      <c r="AC321" t="s">
        <v>43</v>
      </c>
      <c r="AD321" t="s">
        <v>43</v>
      </c>
      <c r="AE321" t="s">
        <v>43</v>
      </c>
      <c r="AF321" t="str">
        <f>AA321</f>
        <v>Leingarten Kunstrasen, Egarten, 74211 Leingarten-Großgartach</v>
      </c>
      <c r="AG321" t="str">
        <f>TRIM(MID(AF321, FIND(", ", AF321)+2, FIND(", ", AF321, FIND(", ", AF321)+1) - FIND(", ", AF321) - 2))</f>
        <v>Egarten</v>
      </c>
      <c r="AH321" t="str">
        <f>_xlfn.TEXTBEFORE(_xlfn.TEXTAFTER(AF321, ", ", 2), " ")</f>
        <v>74211</v>
      </c>
      <c r="AI321" t="str">
        <f>_xlfn.TEXTAFTER(_xlfn.TEXTAFTER(AF321, ", ", 2), " ")</f>
        <v>Leingarten-Großgartach</v>
      </c>
    </row>
    <row r="322" spans="1:35" x14ac:dyDescent="0.2">
      <c r="A322" t="str">
        <f>B322&amp;C322&amp;H322&amp;N322</f>
        <v>35000910Spfr NeckarwestheimD-Junioren2</v>
      </c>
      <c r="B322" t="s">
        <v>68</v>
      </c>
      <c r="C322" t="s">
        <v>69</v>
      </c>
      <c r="D322" t="s">
        <v>34</v>
      </c>
      <c r="E322" t="s">
        <v>35</v>
      </c>
      <c r="F322" t="s">
        <v>36</v>
      </c>
      <c r="G322">
        <v>3</v>
      </c>
      <c r="H322" t="s">
        <v>833</v>
      </c>
      <c r="I322" t="s">
        <v>114</v>
      </c>
      <c r="J322" t="s">
        <v>921</v>
      </c>
      <c r="K322" t="s">
        <v>942</v>
      </c>
      <c r="L322" t="s">
        <v>1381</v>
      </c>
      <c r="M322">
        <v>7</v>
      </c>
      <c r="N322">
        <v>2</v>
      </c>
      <c r="O322" t="s">
        <v>462</v>
      </c>
      <c r="P322" t="s">
        <v>40</v>
      </c>
      <c r="Q322" t="s">
        <v>40</v>
      </c>
      <c r="R322" t="s">
        <v>836</v>
      </c>
      <c r="U322" t="s">
        <v>226</v>
      </c>
      <c r="V322" t="s">
        <v>43</v>
      </c>
      <c r="W322" t="s">
        <v>43</v>
      </c>
      <c r="X322" t="s">
        <v>959</v>
      </c>
      <c r="Y322" s="4" t="s">
        <v>985</v>
      </c>
      <c r="Z322" t="s">
        <v>45</v>
      </c>
      <c r="AA322" t="s">
        <v>961</v>
      </c>
      <c r="AB322" t="s">
        <v>43</v>
      </c>
      <c r="AC322" t="s">
        <v>43</v>
      </c>
      <c r="AD322" t="s">
        <v>43</v>
      </c>
      <c r="AE322" t="s">
        <v>43</v>
      </c>
      <c r="AF322" t="str">
        <f>AA322</f>
        <v>Neckarwestheim Rasen 2, Reblandstr. 31, 74382 Neckarwestheim-Zentrum</v>
      </c>
      <c r="AG322" t="str">
        <f>TRIM(MID(AF322, FIND(", ", AF322)+2, FIND(", ", AF322, FIND(", ", AF322)+1) - FIND(", ", AF322) - 2))</f>
        <v>Reblandstr. 31</v>
      </c>
      <c r="AH322" t="str">
        <f>_xlfn.TEXTBEFORE(_xlfn.TEXTAFTER(AF322, ", ", 2), " ")</f>
        <v>74382</v>
      </c>
      <c r="AI322" t="str">
        <f>_xlfn.TEXTAFTER(_xlfn.TEXTAFTER(AF322, ", ", 2), " ")</f>
        <v>Neckarwestheim-Zentrum</v>
      </c>
    </row>
    <row r="323" spans="1:35" x14ac:dyDescent="0.2">
      <c r="A323" t="str">
        <f>B323&amp;C323&amp;H323&amp;N323</f>
        <v>35001347TSV Talheim (Franken)D-Junioren1</v>
      </c>
      <c r="B323" t="s">
        <v>492</v>
      </c>
      <c r="C323" t="s">
        <v>493</v>
      </c>
      <c r="D323" t="s">
        <v>34</v>
      </c>
      <c r="E323" t="s">
        <v>35</v>
      </c>
      <c r="F323" t="s">
        <v>36</v>
      </c>
      <c r="G323">
        <v>3</v>
      </c>
      <c r="H323" t="s">
        <v>833</v>
      </c>
      <c r="I323" t="s">
        <v>844</v>
      </c>
      <c r="J323" t="s">
        <v>921</v>
      </c>
      <c r="K323" t="s">
        <v>942</v>
      </c>
      <c r="L323" t="s">
        <v>1381</v>
      </c>
      <c r="M323">
        <v>5</v>
      </c>
      <c r="N323">
        <v>1</v>
      </c>
      <c r="O323" t="s">
        <v>950</v>
      </c>
      <c r="P323" t="s">
        <v>40</v>
      </c>
      <c r="Q323" t="s">
        <v>53</v>
      </c>
      <c r="R323" t="s">
        <v>836</v>
      </c>
      <c r="T323" t="s">
        <v>837</v>
      </c>
      <c r="U323" t="s">
        <v>118</v>
      </c>
      <c r="V323" t="s">
        <v>43</v>
      </c>
      <c r="W323" t="s">
        <v>43</v>
      </c>
      <c r="Y323" t="s">
        <v>43</v>
      </c>
      <c r="Z323" t="s">
        <v>45</v>
      </c>
      <c r="AA323" t="s">
        <v>496</v>
      </c>
      <c r="AB323" t="s">
        <v>43</v>
      </c>
      <c r="AC323" t="s">
        <v>43</v>
      </c>
      <c r="AD323" t="s">
        <v>43</v>
      </c>
      <c r="AE323" t="s">
        <v>43</v>
      </c>
      <c r="AF323" t="str">
        <f>AA323</f>
        <v>Talheim Rasen, Sontheimer Str., 74388 Talheim-Zentrum</v>
      </c>
      <c r="AG323" t="str">
        <f>TRIM(MID(AF323, FIND(", ", AF323)+2, FIND(", ", AF323, FIND(", ", AF323)+1) - FIND(", ", AF323) - 2))</f>
        <v>Sontheimer Str.</v>
      </c>
      <c r="AH323" t="str">
        <f>_xlfn.TEXTBEFORE(_xlfn.TEXTAFTER(AF323, ", ", 2), " ")</f>
        <v>74388</v>
      </c>
      <c r="AI323" t="str">
        <f>_xlfn.TEXTAFTER(_xlfn.TEXTAFTER(AF323, ", ", 2), " ")</f>
        <v>Talheim-Zentrum</v>
      </c>
    </row>
    <row r="324" spans="1:35" x14ac:dyDescent="0.2">
      <c r="A324" t="str">
        <f>B324&amp;C324&amp;H324&amp;N324</f>
        <v>35002168TSG HeilbronnD-Junioren1</v>
      </c>
      <c r="B324" t="s">
        <v>349</v>
      </c>
      <c r="C324" t="s">
        <v>350</v>
      </c>
      <c r="D324" t="s">
        <v>34</v>
      </c>
      <c r="E324" t="s">
        <v>35</v>
      </c>
      <c r="F324" t="s">
        <v>36</v>
      </c>
      <c r="G324">
        <v>3</v>
      </c>
      <c r="H324" t="s">
        <v>833</v>
      </c>
      <c r="I324" t="s">
        <v>844</v>
      </c>
      <c r="J324" t="s">
        <v>921</v>
      </c>
      <c r="K324" t="s">
        <v>942</v>
      </c>
      <c r="L324" t="s">
        <v>1381</v>
      </c>
      <c r="M324">
        <v>4</v>
      </c>
      <c r="N324">
        <v>1</v>
      </c>
      <c r="O324" t="s">
        <v>708</v>
      </c>
      <c r="P324" t="s">
        <v>40</v>
      </c>
      <c r="Q324" t="s">
        <v>40</v>
      </c>
      <c r="R324" t="s">
        <v>836</v>
      </c>
      <c r="T324" t="s">
        <v>837</v>
      </c>
      <c r="U324" t="s">
        <v>118</v>
      </c>
      <c r="V324" t="s">
        <v>43</v>
      </c>
      <c r="W324" t="s">
        <v>43</v>
      </c>
      <c r="X324" t="s">
        <v>884</v>
      </c>
      <c r="Y324" s="4" t="s">
        <v>948</v>
      </c>
      <c r="Z324" t="s">
        <v>45</v>
      </c>
      <c r="AA324" t="s">
        <v>949</v>
      </c>
      <c r="AB324" t="s">
        <v>43</v>
      </c>
      <c r="AC324" t="s">
        <v>43</v>
      </c>
      <c r="AD324" t="s">
        <v>43</v>
      </c>
      <c r="AE324" t="s">
        <v>43</v>
      </c>
      <c r="AF324" t="str">
        <f>AA324</f>
        <v>Wertwiesen (TSG) Rasen 2, Wertwiesen 8, 74081 Heilbronn-Sontheim</v>
      </c>
      <c r="AG324" t="str">
        <f>TRIM(MID(AF324, FIND(", ", AF324)+2, FIND(", ", AF324, FIND(", ", AF324)+1) - FIND(", ", AF324) - 2))</f>
        <v>Wertwiesen 8</v>
      </c>
      <c r="AH324" t="str">
        <f>_xlfn.TEXTBEFORE(_xlfn.TEXTAFTER(AF324, ", ", 2), " ")</f>
        <v>74081</v>
      </c>
      <c r="AI324" t="str">
        <f>_xlfn.TEXTAFTER(_xlfn.TEXTAFTER(AF324, ", ", 2), " ")</f>
        <v>Heilbronn-Sontheim</v>
      </c>
    </row>
    <row r="325" spans="1:35" x14ac:dyDescent="0.2">
      <c r="A325" t="str">
        <f>B325&amp;C325&amp;H325&amp;N325</f>
        <v>35000186SC BöckingenD-Junioren1</v>
      </c>
      <c r="B325" t="s">
        <v>238</v>
      </c>
      <c r="C325" t="s">
        <v>239</v>
      </c>
      <c r="D325" t="s">
        <v>34</v>
      </c>
      <c r="E325" t="s">
        <v>35</v>
      </c>
      <c r="F325" t="s">
        <v>36</v>
      </c>
      <c r="G325">
        <v>3</v>
      </c>
      <c r="H325" t="s">
        <v>833</v>
      </c>
      <c r="I325" t="s">
        <v>114</v>
      </c>
      <c r="J325" t="s">
        <v>921</v>
      </c>
      <c r="K325" t="s">
        <v>951</v>
      </c>
      <c r="L325" t="s">
        <v>1382</v>
      </c>
      <c r="M325">
        <v>2</v>
      </c>
      <c r="N325">
        <v>1</v>
      </c>
      <c r="O325" t="s">
        <v>239</v>
      </c>
      <c r="P325" t="s">
        <v>40</v>
      </c>
      <c r="Q325" t="s">
        <v>53</v>
      </c>
      <c r="R325" t="s">
        <v>836</v>
      </c>
      <c r="T325" t="s">
        <v>837</v>
      </c>
      <c r="U325" t="s">
        <v>226</v>
      </c>
      <c r="V325" t="s">
        <v>43</v>
      </c>
      <c r="W325" t="s">
        <v>43</v>
      </c>
      <c r="Y325" t="s">
        <v>242</v>
      </c>
      <c r="Z325" t="s">
        <v>45</v>
      </c>
      <c r="AA325" t="s">
        <v>89</v>
      </c>
      <c r="AB325" t="s">
        <v>43</v>
      </c>
      <c r="AC325" t="s">
        <v>43</v>
      </c>
      <c r="AD325" t="s">
        <v>43</v>
      </c>
      <c r="AE325" t="s">
        <v>43</v>
      </c>
      <c r="AF325" t="str">
        <f>AA325</f>
        <v>Böckingen (SC) Kunstrasen, Viehweide 5, 74080 Heilbronn-Böckingen</v>
      </c>
      <c r="AG325" t="str">
        <f>TRIM(MID(AF325, FIND(", ", AF325)+2, FIND(", ", AF325, FIND(", ", AF325)+1) - FIND(", ", AF325) - 2))</f>
        <v>Viehweide 5</v>
      </c>
      <c r="AH325" t="str">
        <f>_xlfn.TEXTBEFORE(_xlfn.TEXTAFTER(AF325, ", ", 2), " ")</f>
        <v>74080</v>
      </c>
      <c r="AI325" t="str">
        <f>_xlfn.TEXTAFTER(_xlfn.TEXTAFTER(AF325, ", ", 2), " ")</f>
        <v>Heilbronn-Böckingen</v>
      </c>
    </row>
    <row r="326" spans="1:35" x14ac:dyDescent="0.2">
      <c r="A326" t="str">
        <f>B326&amp;C326&amp;H326&amp;N326</f>
        <v>35000236TSV CleebronnD-Junioren1</v>
      </c>
      <c r="B326" t="s">
        <v>123</v>
      </c>
      <c r="C326" t="s">
        <v>124</v>
      </c>
      <c r="D326" t="s">
        <v>34</v>
      </c>
      <c r="E326" t="s">
        <v>35</v>
      </c>
      <c r="F326" t="s">
        <v>36</v>
      </c>
      <c r="G326">
        <v>3</v>
      </c>
      <c r="H326" t="s">
        <v>833</v>
      </c>
      <c r="I326" t="s">
        <v>114</v>
      </c>
      <c r="J326" t="s">
        <v>921</v>
      </c>
      <c r="K326" t="s">
        <v>951</v>
      </c>
      <c r="L326" t="s">
        <v>1382</v>
      </c>
      <c r="M326">
        <v>4</v>
      </c>
      <c r="N326">
        <v>1</v>
      </c>
      <c r="O326" t="s">
        <v>991</v>
      </c>
      <c r="P326" t="s">
        <v>40</v>
      </c>
      <c r="Q326" t="s">
        <v>40</v>
      </c>
      <c r="R326" t="s">
        <v>836</v>
      </c>
      <c r="T326" t="s">
        <v>837</v>
      </c>
      <c r="U326" t="s">
        <v>226</v>
      </c>
      <c r="V326" t="s">
        <v>43</v>
      </c>
      <c r="W326" t="s">
        <v>43</v>
      </c>
      <c r="Y326" t="s">
        <v>992</v>
      </c>
      <c r="Z326" t="s">
        <v>45</v>
      </c>
      <c r="AA326" t="s">
        <v>126</v>
      </c>
      <c r="AB326" t="s">
        <v>43</v>
      </c>
      <c r="AC326" t="s">
        <v>43</v>
      </c>
      <c r="AD326" t="s">
        <v>43</v>
      </c>
      <c r="AE326" t="s">
        <v>43</v>
      </c>
      <c r="AF326" t="str">
        <f>AA326</f>
        <v>Cleebronn Rasen 1, Schützenstr., 74389 Cleebronn-Zentrum</v>
      </c>
      <c r="AG326" t="str">
        <f>TRIM(MID(AF326, FIND(", ", AF326)+2, FIND(", ", AF326, FIND(", ", AF326)+1) - FIND(", ", AF326) - 2))</f>
        <v>Schützenstr.</v>
      </c>
      <c r="AH326" t="str">
        <f>_xlfn.TEXTBEFORE(_xlfn.TEXTAFTER(AF326, ", ", 2), " ")</f>
        <v>74389</v>
      </c>
      <c r="AI326" t="str">
        <f>_xlfn.TEXTAFTER(_xlfn.TEXTAFTER(AF326, ", ", 2), " ")</f>
        <v>Cleebronn-Zentrum</v>
      </c>
    </row>
    <row r="327" spans="1:35" x14ac:dyDescent="0.2">
      <c r="A327" t="str">
        <f>B327&amp;C327&amp;H327&amp;N327</f>
        <v>35000515TSV GüglingenD-Junioren1</v>
      </c>
      <c r="B327" t="s">
        <v>715</v>
      </c>
      <c r="C327" t="s">
        <v>716</v>
      </c>
      <c r="D327" t="s">
        <v>34</v>
      </c>
      <c r="E327" t="s">
        <v>35</v>
      </c>
      <c r="F327" t="s">
        <v>36</v>
      </c>
      <c r="G327">
        <v>3</v>
      </c>
      <c r="H327" t="s">
        <v>833</v>
      </c>
      <c r="I327" t="s">
        <v>114</v>
      </c>
      <c r="J327" t="s">
        <v>921</v>
      </c>
      <c r="K327" t="s">
        <v>951</v>
      </c>
      <c r="L327" t="s">
        <v>1382</v>
      </c>
      <c r="M327">
        <v>1</v>
      </c>
      <c r="N327">
        <v>1</v>
      </c>
      <c r="O327" t="s">
        <v>993</v>
      </c>
      <c r="P327" t="s">
        <v>40</v>
      </c>
      <c r="Q327" t="s">
        <v>53</v>
      </c>
      <c r="R327" t="s">
        <v>836</v>
      </c>
      <c r="T327" t="s">
        <v>974</v>
      </c>
      <c r="U327" t="s">
        <v>118</v>
      </c>
      <c r="V327" t="s">
        <v>43</v>
      </c>
      <c r="W327" t="s">
        <v>43</v>
      </c>
      <c r="X327" t="s">
        <v>994</v>
      </c>
      <c r="Y327" s="4" t="s">
        <v>995</v>
      </c>
      <c r="Z327" t="s">
        <v>45</v>
      </c>
      <c r="AA327" t="s">
        <v>718</v>
      </c>
      <c r="AB327" t="s">
        <v>43</v>
      </c>
      <c r="AC327" t="s">
        <v>43</v>
      </c>
      <c r="AD327" t="s">
        <v>43</v>
      </c>
      <c r="AE327" t="s">
        <v>43</v>
      </c>
      <c r="AF327" t="str">
        <f>AA327</f>
        <v>Güglingen Rasen 1 (Stadion), An der Weinsteige 1, 74363 Güglingen-Zentrum</v>
      </c>
      <c r="AG327" t="str">
        <f>TRIM(MID(AF327, FIND(", ", AF327)+2, FIND(", ", AF327, FIND(", ", AF327)+1) - FIND(", ", AF327) - 2))</f>
        <v>An der Weinsteige 1</v>
      </c>
      <c r="AH327" t="str">
        <f>_xlfn.TEXTBEFORE(_xlfn.TEXTAFTER(AF327, ", ", 2), " ")</f>
        <v>74363</v>
      </c>
      <c r="AI327" t="str">
        <f>_xlfn.TEXTAFTER(_xlfn.TEXTAFTER(AF327, ", ", 2), " ")</f>
        <v>Güglingen-Zentrum</v>
      </c>
    </row>
    <row r="328" spans="1:35" x14ac:dyDescent="0.2">
      <c r="A328" t="str">
        <f>B328&amp;C328&amp;H328&amp;N328</f>
        <v>35000765Spfr LauffenD-Junioren1</v>
      </c>
      <c r="B328" t="s">
        <v>390</v>
      </c>
      <c r="C328" t="s">
        <v>391</v>
      </c>
      <c r="D328" t="s">
        <v>34</v>
      </c>
      <c r="E328" t="s">
        <v>35</v>
      </c>
      <c r="F328" t="s">
        <v>36</v>
      </c>
      <c r="G328">
        <v>3</v>
      </c>
      <c r="H328" t="s">
        <v>833</v>
      </c>
      <c r="I328" t="s">
        <v>844</v>
      </c>
      <c r="J328" t="s">
        <v>921</v>
      </c>
      <c r="K328" t="s">
        <v>951</v>
      </c>
      <c r="L328" t="s">
        <v>1382</v>
      </c>
      <c r="M328">
        <v>5</v>
      </c>
      <c r="N328">
        <v>1</v>
      </c>
      <c r="O328" t="s">
        <v>943</v>
      </c>
      <c r="P328" t="s">
        <v>40</v>
      </c>
      <c r="Q328" t="s">
        <v>40</v>
      </c>
      <c r="R328" t="s">
        <v>836</v>
      </c>
      <c r="T328" t="s">
        <v>849</v>
      </c>
      <c r="U328" t="s">
        <v>118</v>
      </c>
      <c r="V328" t="s">
        <v>43</v>
      </c>
      <c r="W328" t="s">
        <v>43</v>
      </c>
      <c r="Y328" t="s">
        <v>43</v>
      </c>
      <c r="Z328" t="s">
        <v>45</v>
      </c>
      <c r="AA328" t="s">
        <v>694</v>
      </c>
      <c r="AB328" t="s">
        <v>43</v>
      </c>
      <c r="AC328" t="s">
        <v>43</v>
      </c>
      <c r="AD328" t="s">
        <v>43</v>
      </c>
      <c r="AE328" t="s">
        <v>43</v>
      </c>
      <c r="AF328" t="str">
        <f>AA328</f>
        <v>Lauffen Rasen 2, Am Forchenwald, 74348 Lauffen am Neckar</v>
      </c>
      <c r="AG328" t="str">
        <f>TRIM(MID(AF328, FIND(", ", AF328)+2, FIND(", ", AF328, FIND(", ", AF328)+1) - FIND(", ", AF328) - 2))</f>
        <v>Am Forchenwald</v>
      </c>
      <c r="AH328" t="str">
        <f>_xlfn.TEXTBEFORE(_xlfn.TEXTAFTER(AF328, ", ", 2), " ")</f>
        <v>74348</v>
      </c>
      <c r="AI328" t="str">
        <f>_xlfn.TEXTAFTER(_xlfn.TEXTAFTER(AF328, ", ", 2), " ")</f>
        <v>Lauffen am Neckar</v>
      </c>
    </row>
    <row r="329" spans="1:35" x14ac:dyDescent="0.2">
      <c r="A329" t="str">
        <f>B329&amp;C329&amp;H329&amp;N329</f>
        <v>35000777SV LeingartenD-Junioren1</v>
      </c>
      <c r="B329" t="s">
        <v>158</v>
      </c>
      <c r="C329" t="s">
        <v>159</v>
      </c>
      <c r="D329" t="s">
        <v>34</v>
      </c>
      <c r="E329" t="s">
        <v>35</v>
      </c>
      <c r="F329" t="s">
        <v>36</v>
      </c>
      <c r="G329">
        <v>3</v>
      </c>
      <c r="H329" t="s">
        <v>833</v>
      </c>
      <c r="I329" t="s">
        <v>844</v>
      </c>
      <c r="J329" t="s">
        <v>921</v>
      </c>
      <c r="K329" t="s">
        <v>951</v>
      </c>
      <c r="L329" t="s">
        <v>1382</v>
      </c>
      <c r="M329">
        <v>6</v>
      </c>
      <c r="N329">
        <v>1</v>
      </c>
      <c r="O329" t="s">
        <v>962</v>
      </c>
      <c r="P329" t="s">
        <v>40</v>
      </c>
      <c r="Q329" t="s">
        <v>40</v>
      </c>
      <c r="R329" t="s">
        <v>836</v>
      </c>
      <c r="T329" t="s">
        <v>849</v>
      </c>
      <c r="U329" t="s">
        <v>118</v>
      </c>
      <c r="V329" t="s">
        <v>43</v>
      </c>
      <c r="W329" t="s">
        <v>43</v>
      </c>
      <c r="Y329" t="s">
        <v>963</v>
      </c>
      <c r="Z329" t="s">
        <v>45</v>
      </c>
      <c r="AA329" t="s">
        <v>964</v>
      </c>
      <c r="AB329" s="7">
        <v>45658</v>
      </c>
      <c r="AC329" t="s">
        <v>63</v>
      </c>
      <c r="AD329" t="s">
        <v>43</v>
      </c>
      <c r="AE329" t="s">
        <v>43</v>
      </c>
      <c r="AF329" t="str">
        <f>AC329</f>
        <v>Leingarten Kunstrasen, Egarten, 74211 Leingarten-Großgartach</v>
      </c>
      <c r="AG329" t="str">
        <f>TRIM(MID(AF329, FIND(", ", AF329)+2, FIND(", ", AF329, FIND(", ", AF329)+1) - FIND(", ", AF329) - 2))</f>
        <v>Egarten</v>
      </c>
      <c r="AH329" t="str">
        <f>_xlfn.TEXTBEFORE(_xlfn.TEXTAFTER(AF329, ", ", 2), " ")</f>
        <v>74211</v>
      </c>
      <c r="AI329" t="str">
        <f>_xlfn.TEXTAFTER(_xlfn.TEXTAFTER(AF329, ", ", 2), " ")</f>
        <v>Leingarten-Großgartach</v>
      </c>
    </row>
    <row r="330" spans="1:35" x14ac:dyDescent="0.2">
      <c r="A330" t="str">
        <f>B330&amp;C330&amp;H330&amp;N330</f>
        <v>35000910Spfr NeckarwestheimD-Junioren1</v>
      </c>
      <c r="B330" t="s">
        <v>68</v>
      </c>
      <c r="C330" t="s">
        <v>69</v>
      </c>
      <c r="D330" t="s">
        <v>34</v>
      </c>
      <c r="E330" t="s">
        <v>35</v>
      </c>
      <c r="F330" t="s">
        <v>36</v>
      </c>
      <c r="G330">
        <v>3</v>
      </c>
      <c r="H330" t="s">
        <v>833</v>
      </c>
      <c r="I330" t="s">
        <v>844</v>
      </c>
      <c r="J330" t="s">
        <v>921</v>
      </c>
      <c r="K330" t="s">
        <v>951</v>
      </c>
      <c r="L330" t="s">
        <v>1382</v>
      </c>
      <c r="M330">
        <v>7</v>
      </c>
      <c r="N330">
        <v>1</v>
      </c>
      <c r="O330" t="s">
        <v>370</v>
      </c>
      <c r="P330" t="s">
        <v>40</v>
      </c>
      <c r="Q330" t="s">
        <v>40</v>
      </c>
      <c r="R330" t="s">
        <v>836</v>
      </c>
      <c r="U330" t="s">
        <v>118</v>
      </c>
      <c r="V330" t="s">
        <v>43</v>
      </c>
      <c r="W330" t="s">
        <v>43</v>
      </c>
      <c r="X330" t="s">
        <v>959</v>
      </c>
      <c r="Y330" s="4" t="s">
        <v>960</v>
      </c>
      <c r="Z330" t="s">
        <v>45</v>
      </c>
      <c r="AA330" t="s">
        <v>961</v>
      </c>
      <c r="AB330" t="s">
        <v>43</v>
      </c>
      <c r="AC330" t="s">
        <v>43</v>
      </c>
      <c r="AD330" t="s">
        <v>43</v>
      </c>
      <c r="AE330" t="s">
        <v>43</v>
      </c>
      <c r="AF330" t="str">
        <f>AA330</f>
        <v>Neckarwestheim Rasen 2, Reblandstr. 31, 74382 Neckarwestheim-Zentrum</v>
      </c>
      <c r="AG330" t="str">
        <f>TRIM(MID(AF330, FIND(", ", AF330)+2, FIND(", ", AF330, FIND(", ", AF330)+1) - FIND(", ", AF330) - 2))</f>
        <v>Reblandstr. 31</v>
      </c>
      <c r="AH330" t="str">
        <f>_xlfn.TEXTBEFORE(_xlfn.TEXTAFTER(AF330, ", ", 2), " ")</f>
        <v>74382</v>
      </c>
      <c r="AI330" t="str">
        <f>_xlfn.TEXTAFTER(_xlfn.TEXTAFTER(AF330, ", ", 2), " ")</f>
        <v>Neckarwestheim-Zentrum</v>
      </c>
    </row>
    <row r="331" spans="1:35" x14ac:dyDescent="0.2">
      <c r="A331" t="str">
        <f>B331&amp;C331&amp;H331&amp;N331</f>
        <v>35000951TSV Nordheim FußballD-Junioren1</v>
      </c>
      <c r="B331" t="s">
        <v>954</v>
      </c>
      <c r="C331" t="s">
        <v>955</v>
      </c>
      <c r="D331" t="s">
        <v>34</v>
      </c>
      <c r="E331" t="s">
        <v>35</v>
      </c>
      <c r="F331" t="s">
        <v>36</v>
      </c>
      <c r="G331">
        <v>3</v>
      </c>
      <c r="H331" t="s">
        <v>833</v>
      </c>
      <c r="I331" t="s">
        <v>844</v>
      </c>
      <c r="J331" t="s">
        <v>921</v>
      </c>
      <c r="K331" t="s">
        <v>951</v>
      </c>
      <c r="L331" t="s">
        <v>1382</v>
      </c>
      <c r="M331">
        <v>8</v>
      </c>
      <c r="N331">
        <v>1</v>
      </c>
      <c r="O331" t="s">
        <v>956</v>
      </c>
      <c r="P331" t="s">
        <v>40</v>
      </c>
      <c r="Q331" t="s">
        <v>40</v>
      </c>
      <c r="R331" t="s">
        <v>836</v>
      </c>
      <c r="T331" t="s">
        <v>837</v>
      </c>
      <c r="U331" t="s">
        <v>118</v>
      </c>
      <c r="V331" t="s">
        <v>43</v>
      </c>
      <c r="W331" t="s">
        <v>43</v>
      </c>
      <c r="X331" t="s">
        <v>649</v>
      </c>
      <c r="Y331" s="4" t="s">
        <v>957</v>
      </c>
      <c r="Z331" t="s">
        <v>45</v>
      </c>
      <c r="AA331" t="s">
        <v>958</v>
      </c>
      <c r="AB331" t="s">
        <v>43</v>
      </c>
      <c r="AC331" t="s">
        <v>43</v>
      </c>
      <c r="AD331" t="s">
        <v>43</v>
      </c>
      <c r="AE331" t="s">
        <v>43</v>
      </c>
      <c r="AF331" t="str">
        <f>AA331</f>
        <v>Nordheim Kunstrasen, Breibachweg, 74226 Nordheim-Zentrum</v>
      </c>
      <c r="AG331" t="str">
        <f>TRIM(MID(AF331, FIND(", ", AF331)+2, FIND(", ", AF331, FIND(", ", AF331)+1) - FIND(", ", AF331) - 2))</f>
        <v>Breibachweg</v>
      </c>
      <c r="AH331" t="str">
        <f>_xlfn.TEXTBEFORE(_xlfn.TEXTAFTER(AF331, ", ", 2), " ")</f>
        <v>74226</v>
      </c>
      <c r="AI331" t="str">
        <f>_xlfn.TEXTAFTER(_xlfn.TEXTAFTER(AF331, ", ", 2), " ")</f>
        <v>Nordheim-Zentrum</v>
      </c>
    </row>
    <row r="332" spans="1:35" x14ac:dyDescent="0.2">
      <c r="A332" t="str">
        <f>B332&amp;C332&amp;H332&amp;N332</f>
        <v>35002168TSG HeilbronnD-Junioren2</v>
      </c>
      <c r="B332" t="s">
        <v>349</v>
      </c>
      <c r="C332" t="s">
        <v>350</v>
      </c>
      <c r="D332" t="s">
        <v>34</v>
      </c>
      <c r="E332" t="s">
        <v>35</v>
      </c>
      <c r="F332" t="s">
        <v>36</v>
      </c>
      <c r="G332">
        <v>3</v>
      </c>
      <c r="H332" t="s">
        <v>833</v>
      </c>
      <c r="I332" t="s">
        <v>114</v>
      </c>
      <c r="J332" t="s">
        <v>921</v>
      </c>
      <c r="K332" t="s">
        <v>951</v>
      </c>
      <c r="L332" t="s">
        <v>1382</v>
      </c>
      <c r="M332">
        <v>3</v>
      </c>
      <c r="N332">
        <v>2</v>
      </c>
      <c r="O332" t="s">
        <v>754</v>
      </c>
      <c r="P332" t="s">
        <v>40</v>
      </c>
      <c r="Q332" t="s">
        <v>40</v>
      </c>
      <c r="R332" t="s">
        <v>836</v>
      </c>
      <c r="T332" t="s">
        <v>837</v>
      </c>
      <c r="U332" t="s">
        <v>226</v>
      </c>
      <c r="V332" t="s">
        <v>43</v>
      </c>
      <c r="W332" t="s">
        <v>43</v>
      </c>
      <c r="X332" t="s">
        <v>884</v>
      </c>
      <c r="Y332" s="4" t="s">
        <v>948</v>
      </c>
      <c r="Z332" t="s">
        <v>45</v>
      </c>
      <c r="AA332" t="s">
        <v>949</v>
      </c>
      <c r="AB332" t="s">
        <v>43</v>
      </c>
      <c r="AC332" t="s">
        <v>43</v>
      </c>
      <c r="AD332" t="s">
        <v>43</v>
      </c>
      <c r="AE332" t="s">
        <v>43</v>
      </c>
      <c r="AF332" t="str">
        <f>AA332</f>
        <v>Wertwiesen (TSG) Rasen 2, Wertwiesen 8, 74081 Heilbronn-Sontheim</v>
      </c>
      <c r="AG332" t="str">
        <f>TRIM(MID(AF332, FIND(", ", AF332)+2, FIND(", ", AF332, FIND(", ", AF332)+1) - FIND(", ", AF332) - 2))</f>
        <v>Wertwiesen 8</v>
      </c>
      <c r="AH332" t="str">
        <f>_xlfn.TEXTBEFORE(_xlfn.TEXTAFTER(AF332, ", ", 2), " ")</f>
        <v>74081</v>
      </c>
      <c r="AI332" t="str">
        <f>_xlfn.TEXTAFTER(_xlfn.TEXTAFTER(AF332, ", ", 2), " ")</f>
        <v>Heilbronn-Sontheim</v>
      </c>
    </row>
    <row r="333" spans="1:35" x14ac:dyDescent="0.2">
      <c r="A333" t="str">
        <f>B333&amp;C333&amp;H333&amp;N333</f>
        <v>35000905Neckarsulmer Sport-UnionD-Junioren3</v>
      </c>
      <c r="B333" t="s">
        <v>97</v>
      </c>
      <c r="C333" t="s">
        <v>98</v>
      </c>
      <c r="D333" t="s">
        <v>34</v>
      </c>
      <c r="E333" t="s">
        <v>35</v>
      </c>
      <c r="F333" t="s">
        <v>36</v>
      </c>
      <c r="G333">
        <v>3</v>
      </c>
      <c r="H333" t="s">
        <v>833</v>
      </c>
      <c r="I333" t="s">
        <v>114</v>
      </c>
      <c r="J333" t="s">
        <v>921</v>
      </c>
      <c r="K333" t="s">
        <v>996</v>
      </c>
      <c r="L333" t="s">
        <v>1388</v>
      </c>
      <c r="M333">
        <v>3</v>
      </c>
      <c r="N333">
        <v>3</v>
      </c>
      <c r="O333" t="s">
        <v>1004</v>
      </c>
      <c r="P333" t="s">
        <v>40</v>
      </c>
      <c r="Q333" t="s">
        <v>40</v>
      </c>
      <c r="R333" t="s">
        <v>836</v>
      </c>
      <c r="T333" t="s">
        <v>837</v>
      </c>
      <c r="U333" t="s">
        <v>226</v>
      </c>
      <c r="V333" t="s">
        <v>43</v>
      </c>
      <c r="W333" t="s">
        <v>43</v>
      </c>
      <c r="Y333" t="s">
        <v>43</v>
      </c>
      <c r="Z333" t="s">
        <v>45</v>
      </c>
      <c r="AA333" t="s">
        <v>100</v>
      </c>
      <c r="AB333" t="s">
        <v>43</v>
      </c>
      <c r="AC333" t="s">
        <v>43</v>
      </c>
      <c r="AD333" t="s">
        <v>43</v>
      </c>
      <c r="AE333" t="s">
        <v>43</v>
      </c>
      <c r="AF333" t="str">
        <f>AA333</f>
        <v>Neckarsulm Pichterich Kunstrasen, Pichterichstr. 71, 74172 Neckarsulm-Zentrum</v>
      </c>
      <c r="AG333" t="str">
        <f>TRIM(MID(AF333, FIND(", ", AF333)+2, FIND(", ", AF333, FIND(", ", AF333)+1) - FIND(", ", AF333) - 2))</f>
        <v>Pichterichstr. 71</v>
      </c>
      <c r="AH333" t="str">
        <f>_xlfn.TEXTBEFORE(_xlfn.TEXTAFTER(AF333, ", ", 2), " ")</f>
        <v>74172</v>
      </c>
      <c r="AI333" t="str">
        <f>_xlfn.TEXTAFTER(_xlfn.TEXTAFTER(AF333, ", ", 2), " ")</f>
        <v>Neckarsulm-Zentrum</v>
      </c>
    </row>
    <row r="334" spans="1:35" x14ac:dyDescent="0.2">
      <c r="A334" t="str">
        <f>B334&amp;C334&amp;H334&amp;N334</f>
        <v>35000865Spvgg MöckmühlD-Junioren2</v>
      </c>
      <c r="B334" t="s">
        <v>639</v>
      </c>
      <c r="C334" t="s">
        <v>640</v>
      </c>
      <c r="D334" t="s">
        <v>77</v>
      </c>
      <c r="E334" t="s">
        <v>35</v>
      </c>
      <c r="F334" t="s">
        <v>36</v>
      </c>
      <c r="G334">
        <v>3</v>
      </c>
      <c r="H334" t="s">
        <v>833</v>
      </c>
      <c r="I334" t="s">
        <v>114</v>
      </c>
      <c r="J334" t="s">
        <v>921</v>
      </c>
      <c r="K334" t="s">
        <v>996</v>
      </c>
      <c r="L334" t="s">
        <v>1388</v>
      </c>
      <c r="M334">
        <v>8</v>
      </c>
      <c r="N334">
        <v>2</v>
      </c>
      <c r="O334" t="s">
        <v>1005</v>
      </c>
      <c r="P334" t="s">
        <v>40</v>
      </c>
      <c r="Q334" t="s">
        <v>53</v>
      </c>
      <c r="R334" t="s">
        <v>836</v>
      </c>
      <c r="T334" t="s">
        <v>837</v>
      </c>
      <c r="U334" t="s">
        <v>226</v>
      </c>
      <c r="V334" t="s">
        <v>43</v>
      </c>
      <c r="W334" t="s">
        <v>43</v>
      </c>
      <c r="Y334" t="s">
        <v>43</v>
      </c>
      <c r="Z334" t="s">
        <v>45</v>
      </c>
      <c r="AA334" t="s">
        <v>642</v>
      </c>
      <c r="AB334" t="s">
        <v>43</v>
      </c>
      <c r="AC334" t="s">
        <v>43</v>
      </c>
      <c r="AD334" t="s">
        <v>43</v>
      </c>
      <c r="AE334" t="s">
        <v>43</v>
      </c>
      <c r="AF334" t="str">
        <f>AA334</f>
        <v>Möckmühl Rasen 1, Züttlinger Str. 1, 74219 Möckmühl</v>
      </c>
      <c r="AG334" t="str">
        <f>TRIM(MID(AF334, FIND(", ", AF334)+2, FIND(", ", AF334, FIND(", ", AF334)+1) - FIND(", ", AF334) - 2))</f>
        <v>Züttlinger Str. 1</v>
      </c>
      <c r="AH334" t="str">
        <f>_xlfn.TEXTBEFORE(_xlfn.TEXTAFTER(AF334, ", ", 2), " ")</f>
        <v>74219</v>
      </c>
      <c r="AI334" t="str">
        <f>_xlfn.TEXTAFTER(_xlfn.TEXTAFTER(AF334, ", ", 2), " ")</f>
        <v>Möckmühl</v>
      </c>
    </row>
    <row r="335" spans="1:35" x14ac:dyDescent="0.2">
      <c r="A335" t="str">
        <f>B335&amp;C335&amp;H335&amp;N335</f>
        <v>35000904SC Neckarsulm-AmorbachD-Junioren2</v>
      </c>
      <c r="B335" t="s">
        <v>112</v>
      </c>
      <c r="C335" t="s">
        <v>113</v>
      </c>
      <c r="D335" t="s">
        <v>77</v>
      </c>
      <c r="E335" t="s">
        <v>35</v>
      </c>
      <c r="F335" t="s">
        <v>36</v>
      </c>
      <c r="G335">
        <v>3</v>
      </c>
      <c r="H335" t="s">
        <v>833</v>
      </c>
      <c r="I335" t="s">
        <v>114</v>
      </c>
      <c r="J335" t="s">
        <v>921</v>
      </c>
      <c r="K335" t="s">
        <v>996</v>
      </c>
      <c r="L335" t="s">
        <v>1388</v>
      </c>
      <c r="M335">
        <v>7</v>
      </c>
      <c r="N335">
        <v>2</v>
      </c>
      <c r="O335" t="s">
        <v>997</v>
      </c>
      <c r="P335" t="s">
        <v>40</v>
      </c>
      <c r="Q335" t="s">
        <v>40</v>
      </c>
      <c r="R335" t="s">
        <v>836</v>
      </c>
      <c r="S335" t="s">
        <v>989</v>
      </c>
      <c r="T335" t="s">
        <v>849</v>
      </c>
      <c r="U335" t="s">
        <v>226</v>
      </c>
      <c r="V335" t="s">
        <v>43</v>
      </c>
      <c r="W335" t="s">
        <v>43</v>
      </c>
      <c r="Y335" t="s">
        <v>226</v>
      </c>
      <c r="Z335" t="s">
        <v>45</v>
      </c>
      <c r="AA335" t="s">
        <v>119</v>
      </c>
      <c r="AB335" t="s">
        <v>43</v>
      </c>
      <c r="AC335" t="s">
        <v>43</v>
      </c>
      <c r="AD335" t="s">
        <v>43</v>
      </c>
      <c r="AE335" t="s">
        <v>43</v>
      </c>
      <c r="AF335" t="str">
        <f>AA335</f>
        <v>Amorbach Kunstrasen, Schwabenweg 25, 74172 Neckarsulm-Amorbach</v>
      </c>
      <c r="AG335" t="str">
        <f>TRIM(MID(AF335, FIND(", ", AF335)+2, FIND(", ", AF335, FIND(", ", AF335)+1) - FIND(", ", AF335) - 2))</f>
        <v>Schwabenweg 25</v>
      </c>
      <c r="AH335" t="str">
        <f>_xlfn.TEXTBEFORE(_xlfn.TEXTAFTER(AF335, ", ", 2), " ")</f>
        <v>74172</v>
      </c>
      <c r="AI335" t="str">
        <f>_xlfn.TEXTAFTER(_xlfn.TEXTAFTER(AF335, ", ", 2), " ")</f>
        <v>Neckarsulm-Amorbach</v>
      </c>
    </row>
    <row r="336" spans="1:35" x14ac:dyDescent="0.2">
      <c r="A336" t="str">
        <f>B336&amp;C336&amp;H336&amp;N336</f>
        <v>35000923TSV NeuenstadtD-Junioren2</v>
      </c>
      <c r="B336" t="s">
        <v>141</v>
      </c>
      <c r="C336" t="s">
        <v>142</v>
      </c>
      <c r="D336" t="s">
        <v>77</v>
      </c>
      <c r="E336" t="s">
        <v>35</v>
      </c>
      <c r="F336" t="s">
        <v>36</v>
      </c>
      <c r="G336">
        <v>3</v>
      </c>
      <c r="H336" t="s">
        <v>833</v>
      </c>
      <c r="I336" t="s">
        <v>114</v>
      </c>
      <c r="J336" t="s">
        <v>921</v>
      </c>
      <c r="K336" t="s">
        <v>996</v>
      </c>
      <c r="L336" t="s">
        <v>1388</v>
      </c>
      <c r="M336">
        <v>4</v>
      </c>
      <c r="N336">
        <v>2</v>
      </c>
      <c r="O336" t="s">
        <v>1001</v>
      </c>
      <c r="P336" t="s">
        <v>40</v>
      </c>
      <c r="Q336" t="s">
        <v>40</v>
      </c>
      <c r="R336" t="s">
        <v>836</v>
      </c>
      <c r="T336" t="s">
        <v>974</v>
      </c>
      <c r="U336" t="s">
        <v>226</v>
      </c>
      <c r="V336" t="s">
        <v>43</v>
      </c>
      <c r="W336" t="s">
        <v>43</v>
      </c>
      <c r="Y336" t="s">
        <v>748</v>
      </c>
      <c r="Z336" t="s">
        <v>45</v>
      </c>
      <c r="AA336" t="s">
        <v>146</v>
      </c>
      <c r="AB336" t="s">
        <v>43</v>
      </c>
      <c r="AC336" t="s">
        <v>43</v>
      </c>
      <c r="AD336" t="s">
        <v>43</v>
      </c>
      <c r="AE336" t="s">
        <v>43</v>
      </c>
      <c r="AF336" t="str">
        <f>AA336</f>
        <v>Neuenstadt Rasen, Cleversulzbacher Str. 89, 74196 Neuenstadt am Kocher</v>
      </c>
      <c r="AG336" t="str">
        <f>TRIM(MID(AF336, FIND(", ", AF336)+2, FIND(", ", AF336, FIND(", ", AF336)+1) - FIND(", ", AF336) - 2))</f>
        <v>Cleversulzbacher Str. 89</v>
      </c>
      <c r="AH336" t="str">
        <f>_xlfn.TEXTBEFORE(_xlfn.TEXTAFTER(AF336, ", ", 2), " ")</f>
        <v>74196</v>
      </c>
      <c r="AI336" t="str">
        <f>_xlfn.TEXTAFTER(_xlfn.TEXTAFTER(AF336, ", ", 2), " ")</f>
        <v>Neuenstadt am Kocher</v>
      </c>
    </row>
    <row r="337" spans="1:35" x14ac:dyDescent="0.2">
      <c r="A337" t="str">
        <f>B337&amp;C337&amp;H337&amp;N337</f>
        <v>35000967VfL ObereisesheimD-Junioren2</v>
      </c>
      <c r="B337" t="s">
        <v>467</v>
      </c>
      <c r="C337" t="s">
        <v>468</v>
      </c>
      <c r="D337" t="s">
        <v>77</v>
      </c>
      <c r="E337" t="s">
        <v>35</v>
      </c>
      <c r="F337" t="s">
        <v>36</v>
      </c>
      <c r="G337">
        <v>3</v>
      </c>
      <c r="H337" t="s">
        <v>833</v>
      </c>
      <c r="I337" t="s">
        <v>114</v>
      </c>
      <c r="J337" t="s">
        <v>921</v>
      </c>
      <c r="K337" t="s">
        <v>996</v>
      </c>
      <c r="L337" t="s">
        <v>1388</v>
      </c>
      <c r="M337">
        <v>6</v>
      </c>
      <c r="N337">
        <v>2</v>
      </c>
      <c r="O337" t="s">
        <v>1006</v>
      </c>
      <c r="P337" t="s">
        <v>40</v>
      </c>
      <c r="Q337" t="s">
        <v>40</v>
      </c>
      <c r="R337" t="s">
        <v>836</v>
      </c>
      <c r="T337" t="s">
        <v>837</v>
      </c>
      <c r="U337" t="s">
        <v>226</v>
      </c>
      <c r="V337" t="s">
        <v>43</v>
      </c>
      <c r="W337" t="s">
        <v>43</v>
      </c>
      <c r="Y337" t="s">
        <v>1007</v>
      </c>
      <c r="Z337" t="s">
        <v>45</v>
      </c>
      <c r="AA337" t="s">
        <v>1008</v>
      </c>
      <c r="AB337" t="s">
        <v>43</v>
      </c>
      <c r="AC337" t="s">
        <v>43</v>
      </c>
      <c r="AD337" t="s">
        <v>43</v>
      </c>
      <c r="AE337" t="s">
        <v>43</v>
      </c>
      <c r="AF337" t="str">
        <f>AA337</f>
        <v>Obereisesheim Rasen 2, Eberwinstr. 26, 74172 Neckarsulm-Obereisesheim</v>
      </c>
      <c r="AG337" t="str">
        <f>TRIM(MID(AF337, FIND(", ", AF337)+2, FIND(", ", AF337, FIND(", ", AF337)+1) - FIND(", ", AF337) - 2))</f>
        <v>Eberwinstr. 26</v>
      </c>
      <c r="AH337" t="str">
        <f>_xlfn.TEXTBEFORE(_xlfn.TEXTAFTER(AF337, ", ", 2), " ")</f>
        <v>74172</v>
      </c>
      <c r="AI337" t="str">
        <f>_xlfn.TEXTAFTER(_xlfn.TEXTAFTER(AF337, ", ", 2), " ")</f>
        <v>Neckarsulm-Obereisesheim</v>
      </c>
    </row>
    <row r="338" spans="1:35" x14ac:dyDescent="0.2">
      <c r="A338" t="str">
        <f>B338&amp;C338&amp;H338&amp;N338</f>
        <v>35001400Spfr UntergriesheimD-Junioren2</v>
      </c>
      <c r="B338" t="s">
        <v>929</v>
      </c>
      <c r="C338" t="s">
        <v>930</v>
      </c>
      <c r="D338" t="s">
        <v>77</v>
      </c>
      <c r="E338" t="s">
        <v>35</v>
      </c>
      <c r="F338" t="s">
        <v>36</v>
      </c>
      <c r="G338">
        <v>3</v>
      </c>
      <c r="H338" t="s">
        <v>833</v>
      </c>
      <c r="I338" t="s">
        <v>114</v>
      </c>
      <c r="J338" t="s">
        <v>921</v>
      </c>
      <c r="K338" t="s">
        <v>996</v>
      </c>
      <c r="L338" t="s">
        <v>1388</v>
      </c>
      <c r="M338">
        <v>1</v>
      </c>
      <c r="N338">
        <v>2</v>
      </c>
      <c r="O338" t="s">
        <v>1002</v>
      </c>
      <c r="P338" t="s">
        <v>40</v>
      </c>
      <c r="Q338" t="s">
        <v>53</v>
      </c>
      <c r="R338" t="s">
        <v>836</v>
      </c>
      <c r="T338" t="s">
        <v>837</v>
      </c>
      <c r="U338" t="s">
        <v>226</v>
      </c>
      <c r="V338" t="s">
        <v>43</v>
      </c>
      <c r="W338" t="s">
        <v>43</v>
      </c>
      <c r="X338" t="s">
        <v>853</v>
      </c>
      <c r="Y338" s="4" t="s">
        <v>1003</v>
      </c>
      <c r="Z338" t="s">
        <v>45</v>
      </c>
      <c r="AA338" t="s">
        <v>933</v>
      </c>
      <c r="AB338" t="s">
        <v>43</v>
      </c>
      <c r="AC338" t="s">
        <v>43</v>
      </c>
      <c r="AD338" t="s">
        <v>43</v>
      </c>
      <c r="AE338" t="s">
        <v>43</v>
      </c>
      <c r="AF338" t="str">
        <f>AA338</f>
        <v>Untergriesheim Rasen, Austr., 74177 Bad Friedrichshall-Untergriesheim</v>
      </c>
      <c r="AG338" t="str">
        <f>TRIM(MID(AF338, FIND(", ", AF338)+2, FIND(", ", AF338, FIND(", ", AF338)+1) - FIND(", ", AF338) - 2))</f>
        <v>Austr.</v>
      </c>
      <c r="AH338" t="str">
        <f>_xlfn.TEXTBEFORE(_xlfn.TEXTAFTER(AF338, ", ", 2), " ")</f>
        <v>74177</v>
      </c>
      <c r="AI338" t="str">
        <f>_xlfn.TEXTAFTER(_xlfn.TEXTAFTER(AF338, ", ", 2), " ")</f>
        <v>Bad Friedrichshall-Untergriesheim</v>
      </c>
    </row>
    <row r="339" spans="1:35" x14ac:dyDescent="0.2">
      <c r="A339" t="str">
        <f>B339&amp;C339&amp;H339&amp;N339</f>
        <v>35001521SG Bad WimpfenD-Junioren2</v>
      </c>
      <c r="B339" t="s">
        <v>120</v>
      </c>
      <c r="C339" t="s">
        <v>121</v>
      </c>
      <c r="D339" t="s">
        <v>77</v>
      </c>
      <c r="E339" t="s">
        <v>35</v>
      </c>
      <c r="F339" t="s">
        <v>36</v>
      </c>
      <c r="G339">
        <v>3</v>
      </c>
      <c r="H339" t="s">
        <v>833</v>
      </c>
      <c r="I339" t="s">
        <v>114</v>
      </c>
      <c r="J339" t="s">
        <v>921</v>
      </c>
      <c r="K339" t="s">
        <v>996</v>
      </c>
      <c r="L339" t="s">
        <v>1388</v>
      </c>
      <c r="M339">
        <v>5</v>
      </c>
      <c r="N339">
        <v>2</v>
      </c>
      <c r="O339" t="s">
        <v>448</v>
      </c>
      <c r="P339" t="s">
        <v>40</v>
      </c>
      <c r="Q339" t="s">
        <v>40</v>
      </c>
      <c r="R339" t="s">
        <v>836</v>
      </c>
      <c r="T339" t="s">
        <v>974</v>
      </c>
      <c r="U339" t="s">
        <v>226</v>
      </c>
      <c r="V339" t="s">
        <v>43</v>
      </c>
      <c r="W339" t="s">
        <v>43</v>
      </c>
      <c r="Y339" t="s">
        <v>43</v>
      </c>
      <c r="Z339" t="s">
        <v>45</v>
      </c>
      <c r="AA339" t="s">
        <v>122</v>
      </c>
      <c r="AB339" t="s">
        <v>43</v>
      </c>
      <c r="AC339" t="s">
        <v>43</v>
      </c>
      <c r="AD339" t="s">
        <v>43</v>
      </c>
      <c r="AE339" t="s">
        <v>43</v>
      </c>
      <c r="AF339" t="str">
        <f>AA339</f>
        <v>Bad Wimpfen Kunstrasen, Erich-Sailer-Str. 59, 74206 Bad Wimpfen-Zentrum</v>
      </c>
      <c r="AG339" t="str">
        <f>TRIM(MID(AF339, FIND(", ", AF339)+2, FIND(", ", AF339, FIND(", ", AF339)+1) - FIND(", ", AF339) - 2))</f>
        <v>Erich-Sailer-Str. 59</v>
      </c>
      <c r="AH339" t="str">
        <f>_xlfn.TEXTBEFORE(_xlfn.TEXTAFTER(AF339, ", ", 2), " ")</f>
        <v>74206</v>
      </c>
      <c r="AI339" t="str">
        <f>_xlfn.TEXTAFTER(_xlfn.TEXTAFTER(AF339, ", ", 2), " ")</f>
        <v>Bad Wimpfen-Zentrum</v>
      </c>
    </row>
    <row r="340" spans="1:35" x14ac:dyDescent="0.2">
      <c r="A340" t="str">
        <f>B340&amp;C340&amp;H340&amp;N340</f>
        <v>35002099FSV Friedrichshaller SV 1898D-Junioren2</v>
      </c>
      <c r="B340" t="s">
        <v>338</v>
      </c>
      <c r="C340" t="s">
        <v>339</v>
      </c>
      <c r="D340" t="s">
        <v>77</v>
      </c>
      <c r="E340" t="s">
        <v>35</v>
      </c>
      <c r="F340" t="s">
        <v>36</v>
      </c>
      <c r="G340">
        <v>3</v>
      </c>
      <c r="H340" t="s">
        <v>833</v>
      </c>
      <c r="I340" t="s">
        <v>114</v>
      </c>
      <c r="J340" t="s">
        <v>921</v>
      </c>
      <c r="K340" t="s">
        <v>996</v>
      </c>
      <c r="L340" t="s">
        <v>1388</v>
      </c>
      <c r="M340">
        <v>2</v>
      </c>
      <c r="N340">
        <v>2</v>
      </c>
      <c r="O340" t="s">
        <v>471</v>
      </c>
      <c r="P340" t="s">
        <v>40</v>
      </c>
      <c r="Q340" t="s">
        <v>53</v>
      </c>
      <c r="R340" t="s">
        <v>836</v>
      </c>
      <c r="T340" t="s">
        <v>837</v>
      </c>
      <c r="U340" t="s">
        <v>226</v>
      </c>
      <c r="V340" t="s">
        <v>43</v>
      </c>
      <c r="W340" t="s">
        <v>43</v>
      </c>
      <c r="Y340" t="s">
        <v>43</v>
      </c>
      <c r="Z340" t="s">
        <v>45</v>
      </c>
      <c r="AA340" t="s">
        <v>341</v>
      </c>
      <c r="AB340" t="s">
        <v>43</v>
      </c>
      <c r="AC340" t="s">
        <v>43</v>
      </c>
      <c r="AD340" t="s">
        <v>43</v>
      </c>
      <c r="AE340" t="s">
        <v>43</v>
      </c>
      <c r="AF340" t="str">
        <f>AA340</f>
        <v>Jagstfeld Kunstrasen, Hohe Straße , 74177 Bad Friedrichshall-Jagstfeld</v>
      </c>
      <c r="AG340" t="str">
        <f>TRIM(MID(AF340, FIND(", ", AF340)+2, FIND(", ", AF340, FIND(", ", AF340)+1) - FIND(", ", AF340) - 2))</f>
        <v>Hohe Straße</v>
      </c>
      <c r="AH340" t="str">
        <f>_xlfn.TEXTBEFORE(_xlfn.TEXTAFTER(AF340, ", ", 2), " ")</f>
        <v>74177</v>
      </c>
      <c r="AI340" t="str">
        <f>_xlfn.TEXTAFTER(_xlfn.TEXTAFTER(AF340, ", ", 2), " ")</f>
        <v>Bad Friedrichshall-Jagstfeld</v>
      </c>
    </row>
    <row r="341" spans="1:35" x14ac:dyDescent="0.2">
      <c r="A341" t="str">
        <f>B341&amp;C341&amp;H341&amp;N341</f>
        <v>35000110TGV Eintracht BeilsteinD-Junioren2</v>
      </c>
      <c r="B341" t="s">
        <v>397</v>
      </c>
      <c r="C341" t="s">
        <v>398</v>
      </c>
      <c r="D341" t="s">
        <v>34</v>
      </c>
      <c r="E341" t="s">
        <v>35</v>
      </c>
      <c r="F341" t="s">
        <v>36</v>
      </c>
      <c r="G341">
        <v>3</v>
      </c>
      <c r="H341" t="s">
        <v>833</v>
      </c>
      <c r="I341" t="s">
        <v>114</v>
      </c>
      <c r="J341" t="s">
        <v>921</v>
      </c>
      <c r="K341" t="s">
        <v>998</v>
      </c>
      <c r="L341" t="s">
        <v>1380</v>
      </c>
      <c r="M341">
        <v>2</v>
      </c>
      <c r="N341">
        <v>2</v>
      </c>
      <c r="O341" t="s">
        <v>1015</v>
      </c>
      <c r="P341" t="s">
        <v>40</v>
      </c>
      <c r="Q341" t="s">
        <v>53</v>
      </c>
      <c r="R341" t="s">
        <v>836</v>
      </c>
      <c r="U341" t="s">
        <v>226</v>
      </c>
      <c r="V341" t="s">
        <v>43</v>
      </c>
      <c r="W341" t="s">
        <v>43</v>
      </c>
      <c r="X341" t="s">
        <v>853</v>
      </c>
      <c r="Y341" s="4" t="s">
        <v>1016</v>
      </c>
      <c r="Z341" t="s">
        <v>45</v>
      </c>
      <c r="AA341" t="s">
        <v>947</v>
      </c>
      <c r="AB341" t="s">
        <v>43</v>
      </c>
      <c r="AC341" t="s">
        <v>43</v>
      </c>
      <c r="AD341" t="s">
        <v>43</v>
      </c>
      <c r="AE341" t="s">
        <v>43</v>
      </c>
      <c r="AF341" t="str">
        <f>AA341</f>
        <v>Beilstein Kunstrasen, Albert-Einstein-Str. 20, 71717 Beilstein-Zentrum</v>
      </c>
      <c r="AG341" t="str">
        <f>TRIM(MID(AF341, FIND(", ", AF341)+2, FIND(", ", AF341, FIND(", ", AF341)+1) - FIND(", ", AF341) - 2))</f>
        <v>Albert-Einstein-Str. 20</v>
      </c>
      <c r="AH341" t="str">
        <f>_xlfn.TEXTBEFORE(_xlfn.TEXTAFTER(AF341, ", ", 2), " ")</f>
        <v>71717</v>
      </c>
      <c r="AI341" t="str">
        <f>_xlfn.TEXTAFTER(_xlfn.TEXTAFTER(AF341, ", ", 2), " ")</f>
        <v>Beilstein-Zentrum</v>
      </c>
    </row>
    <row r="342" spans="1:35" x14ac:dyDescent="0.2">
      <c r="A342" t="str">
        <f>B342&amp;C342&amp;H342&amp;N342</f>
        <v>35000404TV FleinD-Junioren3</v>
      </c>
      <c r="B342" t="s">
        <v>109</v>
      </c>
      <c r="C342" t="s">
        <v>110</v>
      </c>
      <c r="D342" t="s">
        <v>34</v>
      </c>
      <c r="E342" t="s">
        <v>35</v>
      </c>
      <c r="F342" t="s">
        <v>36</v>
      </c>
      <c r="G342">
        <v>3</v>
      </c>
      <c r="H342" t="s">
        <v>833</v>
      </c>
      <c r="I342" t="s">
        <v>114</v>
      </c>
      <c r="J342" t="s">
        <v>921</v>
      </c>
      <c r="K342" t="s">
        <v>998</v>
      </c>
      <c r="L342" t="s">
        <v>1380</v>
      </c>
      <c r="M342">
        <v>8</v>
      </c>
      <c r="N342">
        <v>3</v>
      </c>
      <c r="O342" t="s">
        <v>1018</v>
      </c>
      <c r="P342" t="s">
        <v>40</v>
      </c>
      <c r="Q342" t="s">
        <v>53</v>
      </c>
      <c r="R342" t="s">
        <v>836</v>
      </c>
      <c r="S342" t="s">
        <v>989</v>
      </c>
      <c r="T342" t="s">
        <v>974</v>
      </c>
      <c r="U342" t="s">
        <v>226</v>
      </c>
      <c r="V342" t="s">
        <v>43</v>
      </c>
      <c r="W342" t="s">
        <v>43</v>
      </c>
      <c r="Y342" t="s">
        <v>226</v>
      </c>
      <c r="Z342" t="s">
        <v>45</v>
      </c>
      <c r="AA342" t="s">
        <v>911</v>
      </c>
      <c r="AB342" t="s">
        <v>43</v>
      </c>
      <c r="AC342" t="s">
        <v>43</v>
      </c>
      <c r="AD342" t="s">
        <v>43</v>
      </c>
      <c r="AE342" t="s">
        <v>43</v>
      </c>
      <c r="AF342" t="str">
        <f>AA342</f>
        <v>Flein Kunstrasen (Flutlicht), Talheimer Str. 1, 74223 Flein-Zentrum</v>
      </c>
      <c r="AG342" t="str">
        <f>TRIM(MID(AF342, FIND(", ", AF342)+2, FIND(", ", AF342, FIND(", ", AF342)+1) - FIND(", ", AF342) - 2))</f>
        <v>Talheimer Str. 1</v>
      </c>
      <c r="AH342" t="str">
        <f>_xlfn.TEXTBEFORE(_xlfn.TEXTAFTER(AF342, ", ", 2), " ")</f>
        <v>74223</v>
      </c>
      <c r="AI342" t="str">
        <f>_xlfn.TEXTAFTER(_xlfn.TEXTAFTER(AF342, ", ", 2), " ")</f>
        <v>Flein-Zentrum</v>
      </c>
    </row>
    <row r="343" spans="1:35" x14ac:dyDescent="0.2">
      <c r="A343" t="str">
        <f>B343&amp;C343&amp;H343&amp;N343</f>
        <v>35000667SC IlsfeldD-Junioren2</v>
      </c>
      <c r="B343" t="s">
        <v>634</v>
      </c>
      <c r="C343" t="s">
        <v>635</v>
      </c>
      <c r="D343" t="s">
        <v>34</v>
      </c>
      <c r="E343" t="s">
        <v>35</v>
      </c>
      <c r="F343" t="s">
        <v>36</v>
      </c>
      <c r="G343">
        <v>3</v>
      </c>
      <c r="H343" t="s">
        <v>833</v>
      </c>
      <c r="I343" t="s">
        <v>114</v>
      </c>
      <c r="J343" t="s">
        <v>921</v>
      </c>
      <c r="K343" t="s">
        <v>998</v>
      </c>
      <c r="L343" t="s">
        <v>1380</v>
      </c>
      <c r="M343">
        <v>6</v>
      </c>
      <c r="N343">
        <v>2</v>
      </c>
      <c r="O343" t="s">
        <v>1009</v>
      </c>
      <c r="P343" t="s">
        <v>40</v>
      </c>
      <c r="Q343" t="s">
        <v>40</v>
      </c>
      <c r="R343" t="s">
        <v>836</v>
      </c>
      <c r="T343" t="s">
        <v>974</v>
      </c>
      <c r="U343" t="s">
        <v>226</v>
      </c>
      <c r="V343" t="s">
        <v>43</v>
      </c>
      <c r="W343" t="s">
        <v>43</v>
      </c>
      <c r="X343" t="s">
        <v>916</v>
      </c>
      <c r="Y343" s="4" t="s">
        <v>1010</v>
      </c>
      <c r="Z343" t="s">
        <v>45</v>
      </c>
      <c r="AA343" t="s">
        <v>855</v>
      </c>
      <c r="AB343" t="s">
        <v>43</v>
      </c>
      <c r="AC343" t="s">
        <v>43</v>
      </c>
      <c r="AD343" t="s">
        <v>43</v>
      </c>
      <c r="AE343" t="s">
        <v>43</v>
      </c>
      <c r="AF343" t="str">
        <f>AA343</f>
        <v>Ilsfeld Rasen 1, Brückenstr. 28, 74360 Ilsfeld</v>
      </c>
      <c r="AG343" t="str">
        <f>TRIM(MID(AF343, FIND(", ", AF343)+2, FIND(", ", AF343, FIND(", ", AF343)+1) - FIND(", ", AF343) - 2))</f>
        <v>Brückenstr. 28</v>
      </c>
      <c r="AH343" t="str">
        <f>_xlfn.TEXTBEFORE(_xlfn.TEXTAFTER(AF343, ", ", 2), " ")</f>
        <v>74360</v>
      </c>
      <c r="AI343" t="str">
        <f>_xlfn.TEXTAFTER(_xlfn.TEXTAFTER(AF343, ", ", 2), " ")</f>
        <v>Ilsfeld</v>
      </c>
    </row>
    <row r="344" spans="1:35" x14ac:dyDescent="0.2">
      <c r="A344" t="str">
        <f>B344&amp;C344&amp;H344&amp;N344</f>
        <v>35001178SV SülzbachD-Junioren2</v>
      </c>
      <c r="B344" t="s">
        <v>858</v>
      </c>
      <c r="C344" t="s">
        <v>859</v>
      </c>
      <c r="D344" t="s">
        <v>34</v>
      </c>
      <c r="E344" t="s">
        <v>35</v>
      </c>
      <c r="F344" t="s">
        <v>36</v>
      </c>
      <c r="G344">
        <v>3</v>
      </c>
      <c r="H344" t="s">
        <v>833</v>
      </c>
      <c r="I344" t="s">
        <v>114</v>
      </c>
      <c r="J344" t="s">
        <v>921</v>
      </c>
      <c r="K344" t="s">
        <v>998</v>
      </c>
      <c r="L344" t="s">
        <v>1380</v>
      </c>
      <c r="M344">
        <v>3</v>
      </c>
      <c r="N344">
        <v>2</v>
      </c>
      <c r="O344" t="s">
        <v>1011</v>
      </c>
      <c r="P344" t="s">
        <v>40</v>
      </c>
      <c r="Q344" t="s">
        <v>53</v>
      </c>
      <c r="R344" t="s">
        <v>836</v>
      </c>
      <c r="T344" t="s">
        <v>974</v>
      </c>
      <c r="U344" t="s">
        <v>226</v>
      </c>
      <c r="V344" t="s">
        <v>43</v>
      </c>
      <c r="W344" t="s">
        <v>43</v>
      </c>
      <c r="X344" t="s">
        <v>1012</v>
      </c>
      <c r="Y344" s="4" t="s">
        <v>1013</v>
      </c>
      <c r="Z344" t="s">
        <v>45</v>
      </c>
      <c r="AA344" t="s">
        <v>863</v>
      </c>
      <c r="AB344" t="s">
        <v>43</v>
      </c>
      <c r="AC344" t="s">
        <v>43</v>
      </c>
      <c r="AD344" t="s">
        <v>43</v>
      </c>
      <c r="AE344" t="s">
        <v>43</v>
      </c>
      <c r="AF344" t="str">
        <f>AA344</f>
        <v>Ellhofen Rasen 1, Eulenbergstr. 60, 74248 Ellhofen-Zentrum</v>
      </c>
      <c r="AG344" t="str">
        <f>TRIM(MID(AF344, FIND(", ", AF344)+2, FIND(", ", AF344, FIND(", ", AF344)+1) - FIND(", ", AF344) - 2))</f>
        <v>Eulenbergstr. 60</v>
      </c>
      <c r="AH344" t="str">
        <f>_xlfn.TEXTBEFORE(_xlfn.TEXTAFTER(AF344, ", ", 2), " ")</f>
        <v>74248</v>
      </c>
      <c r="AI344" t="str">
        <f>_xlfn.TEXTAFTER(_xlfn.TEXTAFTER(AF344, ", ", 2), " ")</f>
        <v>Ellhofen-Zentrum</v>
      </c>
    </row>
    <row r="345" spans="1:35" x14ac:dyDescent="0.2">
      <c r="A345" t="str">
        <f>B345&amp;C345&amp;H345&amp;N345</f>
        <v>35001490TSV WeinsbergD-Junioren2</v>
      </c>
      <c r="B345" t="s">
        <v>235</v>
      </c>
      <c r="C345" t="s">
        <v>236</v>
      </c>
      <c r="D345" t="s">
        <v>34</v>
      </c>
      <c r="E345" t="s">
        <v>35</v>
      </c>
      <c r="F345" t="s">
        <v>36</v>
      </c>
      <c r="G345">
        <v>3</v>
      </c>
      <c r="H345" t="s">
        <v>833</v>
      </c>
      <c r="I345" t="s">
        <v>114</v>
      </c>
      <c r="J345" t="s">
        <v>921</v>
      </c>
      <c r="K345" t="s">
        <v>998</v>
      </c>
      <c r="L345" t="s">
        <v>1380</v>
      </c>
      <c r="M345">
        <v>1</v>
      </c>
      <c r="N345">
        <v>2</v>
      </c>
      <c r="O345" t="s">
        <v>1017</v>
      </c>
      <c r="P345" t="s">
        <v>40</v>
      </c>
      <c r="Q345" t="s">
        <v>40</v>
      </c>
      <c r="R345" t="s">
        <v>836</v>
      </c>
      <c r="U345" t="s">
        <v>226</v>
      </c>
      <c r="V345" t="s">
        <v>43</v>
      </c>
      <c r="W345" t="s">
        <v>43</v>
      </c>
      <c r="Y345" t="s">
        <v>43</v>
      </c>
      <c r="Z345" t="s">
        <v>45</v>
      </c>
      <c r="AA345" t="s">
        <v>465</v>
      </c>
      <c r="AB345" t="s">
        <v>43</v>
      </c>
      <c r="AC345" t="s">
        <v>43</v>
      </c>
      <c r="AD345" t="s">
        <v>43</v>
      </c>
      <c r="AE345" t="s">
        <v>43</v>
      </c>
      <c r="AF345" t="str">
        <f>AA345</f>
        <v>Weinsberg Rasen 1, Rappenhofweg, 74189 Weinsberg-Zentrum</v>
      </c>
      <c r="AG345" t="str">
        <f>TRIM(MID(AF345, FIND(", ", AF345)+2, FIND(", ", AF345, FIND(", ", AF345)+1) - FIND(", ", AF345) - 2))</f>
        <v>Rappenhofweg</v>
      </c>
      <c r="AH345" t="str">
        <f>_xlfn.TEXTBEFORE(_xlfn.TEXTAFTER(AF345, ", ", 2), " ")</f>
        <v>74189</v>
      </c>
      <c r="AI345" t="str">
        <f>_xlfn.TEXTAFTER(_xlfn.TEXTAFTER(AF345, ", ", 2), " ")</f>
        <v>Weinsberg-Zentrum</v>
      </c>
    </row>
    <row r="346" spans="1:35" x14ac:dyDescent="0.2">
      <c r="A346" t="str">
        <f>B346&amp;C346&amp;H346&amp;N346</f>
        <v>35001520TSV WillsbachD-Junioren2</v>
      </c>
      <c r="B346" t="s">
        <v>651</v>
      </c>
      <c r="C346" t="s">
        <v>652</v>
      </c>
      <c r="D346" t="s">
        <v>34</v>
      </c>
      <c r="E346" t="s">
        <v>35</v>
      </c>
      <c r="F346" t="s">
        <v>36</v>
      </c>
      <c r="G346">
        <v>3</v>
      </c>
      <c r="H346" t="s">
        <v>833</v>
      </c>
      <c r="I346" t="s">
        <v>114</v>
      </c>
      <c r="J346" t="s">
        <v>921</v>
      </c>
      <c r="K346" t="s">
        <v>998</v>
      </c>
      <c r="L346" t="s">
        <v>1380</v>
      </c>
      <c r="M346">
        <v>5</v>
      </c>
      <c r="N346">
        <v>2</v>
      </c>
      <c r="O346" t="s">
        <v>1014</v>
      </c>
      <c r="P346" t="s">
        <v>40</v>
      </c>
      <c r="Q346" t="s">
        <v>53</v>
      </c>
      <c r="R346" t="s">
        <v>836</v>
      </c>
      <c r="T346" t="s">
        <v>837</v>
      </c>
      <c r="U346" t="s">
        <v>226</v>
      </c>
      <c r="V346" t="s">
        <v>43</v>
      </c>
      <c r="W346" t="s">
        <v>43</v>
      </c>
      <c r="Y346" t="s">
        <v>43</v>
      </c>
      <c r="Z346" t="s">
        <v>45</v>
      </c>
      <c r="AA346" t="s">
        <v>654</v>
      </c>
      <c r="AB346" t="s">
        <v>43</v>
      </c>
      <c r="AC346" t="s">
        <v>43</v>
      </c>
      <c r="AD346" t="s">
        <v>43</v>
      </c>
      <c r="AE346" t="s">
        <v>43</v>
      </c>
      <c r="AF346" t="str">
        <f>AA346</f>
        <v>Willsbach Rasen, Bahnhoffußweg 21, 74182 Obersulm-Willsbach</v>
      </c>
      <c r="AG346" t="str">
        <f>TRIM(MID(AF346, FIND(", ", AF346)+2, FIND(", ", AF346, FIND(", ", AF346)+1) - FIND(", ", AF346) - 2))</f>
        <v>Bahnhoffußweg 21</v>
      </c>
      <c r="AH346" t="str">
        <f>_xlfn.TEXTBEFORE(_xlfn.TEXTAFTER(AF346, ", ", 2), " ")</f>
        <v>74182</v>
      </c>
      <c r="AI346" t="str">
        <f>_xlfn.TEXTAFTER(_xlfn.TEXTAFTER(AF346, ", ", 2), " ")</f>
        <v>Obersulm-Willsbach</v>
      </c>
    </row>
    <row r="347" spans="1:35" x14ac:dyDescent="0.2">
      <c r="A347" t="str">
        <f>B347&amp;C347&amp;H347&amp;N347</f>
        <v>35000904SC Neckarsulm-AmorbachD-Junioren3</v>
      </c>
      <c r="B347" t="s">
        <v>112</v>
      </c>
      <c r="C347" t="s">
        <v>113</v>
      </c>
      <c r="D347" t="s">
        <v>77</v>
      </c>
      <c r="E347" t="s">
        <v>35</v>
      </c>
      <c r="F347" t="s">
        <v>36</v>
      </c>
      <c r="G347">
        <v>3</v>
      </c>
      <c r="H347" t="s">
        <v>833</v>
      </c>
      <c r="I347" t="s">
        <v>114</v>
      </c>
      <c r="J347" t="s">
        <v>921</v>
      </c>
      <c r="K347" t="s">
        <v>998</v>
      </c>
      <c r="L347" t="s">
        <v>1380</v>
      </c>
      <c r="M347">
        <v>7</v>
      </c>
      <c r="N347">
        <v>3</v>
      </c>
      <c r="O347" t="s">
        <v>999</v>
      </c>
      <c r="P347" t="s">
        <v>40</v>
      </c>
      <c r="Q347" t="s">
        <v>40</v>
      </c>
      <c r="R347" t="s">
        <v>836</v>
      </c>
      <c r="T347" t="s">
        <v>1000</v>
      </c>
      <c r="U347" t="s">
        <v>226</v>
      </c>
      <c r="V347" t="s">
        <v>43</v>
      </c>
      <c r="W347" t="s">
        <v>43</v>
      </c>
      <c r="Y347" t="s">
        <v>43</v>
      </c>
      <c r="Z347" t="s">
        <v>45</v>
      </c>
      <c r="AA347" t="s">
        <v>119</v>
      </c>
      <c r="AB347" t="s">
        <v>43</v>
      </c>
      <c r="AC347" t="s">
        <v>43</v>
      </c>
      <c r="AD347" t="s">
        <v>43</v>
      </c>
      <c r="AE347" t="s">
        <v>43</v>
      </c>
      <c r="AF347" t="str">
        <f>AA347</f>
        <v>Amorbach Kunstrasen, Schwabenweg 25, 74172 Neckarsulm-Amorbach</v>
      </c>
      <c r="AG347" t="str">
        <f>TRIM(MID(AF347, FIND(", ", AF347)+2, FIND(", ", AF347, FIND(", ", AF347)+1) - FIND(", ", AF347) - 2))</f>
        <v>Schwabenweg 25</v>
      </c>
      <c r="AH347" t="str">
        <f>_xlfn.TEXTBEFORE(_xlfn.TEXTAFTER(AF347, ", ", 2), " ")</f>
        <v>74172</v>
      </c>
      <c r="AI347" t="str">
        <f>_xlfn.TEXTAFTER(_xlfn.TEXTAFTER(AF347, ", ", 2), " ")</f>
        <v>Neckarsulm-Amorbach</v>
      </c>
    </row>
    <row r="348" spans="1:35" x14ac:dyDescent="0.2">
      <c r="A348" t="str">
        <f>B348&amp;C348&amp;H348&amp;N348</f>
        <v>35000967VfL ObereisesheimD-Junioren1</v>
      </c>
      <c r="B348" t="s">
        <v>467</v>
      </c>
      <c r="C348" t="s">
        <v>468</v>
      </c>
      <c r="D348" t="s">
        <v>77</v>
      </c>
      <c r="E348" t="s">
        <v>35</v>
      </c>
      <c r="F348" t="s">
        <v>36</v>
      </c>
      <c r="G348">
        <v>3</v>
      </c>
      <c r="H348" t="s">
        <v>833</v>
      </c>
      <c r="I348" t="s">
        <v>114</v>
      </c>
      <c r="J348" t="s">
        <v>921</v>
      </c>
      <c r="K348" t="s">
        <v>998</v>
      </c>
      <c r="L348" t="s">
        <v>1380</v>
      </c>
      <c r="M348">
        <v>4</v>
      </c>
      <c r="N348">
        <v>1</v>
      </c>
      <c r="O348" t="s">
        <v>1019</v>
      </c>
      <c r="P348" t="s">
        <v>40</v>
      </c>
      <c r="Q348" t="s">
        <v>40</v>
      </c>
      <c r="R348" t="s">
        <v>836</v>
      </c>
      <c r="T348" t="s">
        <v>837</v>
      </c>
      <c r="U348" t="s">
        <v>226</v>
      </c>
      <c r="V348" t="s">
        <v>43</v>
      </c>
      <c r="W348" t="s">
        <v>43</v>
      </c>
      <c r="Y348" t="s">
        <v>1020</v>
      </c>
      <c r="Z348" t="s">
        <v>45</v>
      </c>
      <c r="AA348" t="s">
        <v>1008</v>
      </c>
      <c r="AB348" t="s">
        <v>43</v>
      </c>
      <c r="AC348" t="s">
        <v>43</v>
      </c>
      <c r="AD348" t="s">
        <v>43</v>
      </c>
      <c r="AE348" t="s">
        <v>43</v>
      </c>
      <c r="AF348" t="str">
        <f>AA348</f>
        <v>Obereisesheim Rasen 2, Eberwinstr. 26, 74172 Neckarsulm-Obereisesheim</v>
      </c>
      <c r="AG348" t="str">
        <f>TRIM(MID(AF348, FIND(", ", AF348)+2, FIND(", ", AF348, FIND(", ", AF348)+1) - FIND(", ", AF348) - 2))</f>
        <v>Eberwinstr. 26</v>
      </c>
      <c r="AH348" t="str">
        <f>_xlfn.TEXTBEFORE(_xlfn.TEXTAFTER(AF348, ", ", 2), " ")</f>
        <v>74172</v>
      </c>
      <c r="AI348" t="str">
        <f>_xlfn.TEXTAFTER(_xlfn.TEXTAFTER(AF348, ", ", 2), " ")</f>
        <v>Neckarsulm-Obereisesheim</v>
      </c>
    </row>
    <row r="349" spans="1:35" x14ac:dyDescent="0.2">
      <c r="A349" t="str">
        <f>B349&amp;C349&amp;H349&amp;N349</f>
        <v>35000147TSV BiberachD-Junioren1</v>
      </c>
      <c r="B349" t="s">
        <v>1035</v>
      </c>
      <c r="C349" t="s">
        <v>1036</v>
      </c>
      <c r="D349" t="s">
        <v>34</v>
      </c>
      <c r="E349" t="s">
        <v>35</v>
      </c>
      <c r="F349" t="s">
        <v>36</v>
      </c>
      <c r="G349">
        <v>3</v>
      </c>
      <c r="H349" t="s">
        <v>833</v>
      </c>
      <c r="I349" t="s">
        <v>114</v>
      </c>
      <c r="J349" t="s">
        <v>921</v>
      </c>
      <c r="K349" t="s">
        <v>986</v>
      </c>
      <c r="L349" t="s">
        <v>1383</v>
      </c>
      <c r="M349">
        <v>6</v>
      </c>
      <c r="N349">
        <v>1</v>
      </c>
      <c r="O349" t="s">
        <v>1036</v>
      </c>
      <c r="P349" t="s">
        <v>40</v>
      </c>
      <c r="Q349" t="s">
        <v>40</v>
      </c>
      <c r="R349" t="s">
        <v>836</v>
      </c>
      <c r="T349" t="s">
        <v>974</v>
      </c>
      <c r="U349" t="s">
        <v>226</v>
      </c>
      <c r="V349" t="s">
        <v>43</v>
      </c>
      <c r="W349" t="s">
        <v>43</v>
      </c>
      <c r="Y349" t="s">
        <v>1037</v>
      </c>
      <c r="Z349" t="s">
        <v>45</v>
      </c>
      <c r="AA349" t="s">
        <v>1038</v>
      </c>
      <c r="AB349" t="s">
        <v>43</v>
      </c>
      <c r="AC349" t="s">
        <v>43</v>
      </c>
      <c r="AD349" t="s">
        <v>43</v>
      </c>
      <c r="AE349" t="s">
        <v>43</v>
      </c>
      <c r="AF349" t="str">
        <f>AA349</f>
        <v>Biberach Rasen 1 (Stadion), Bibersteige 19, 74078 Heilbronn-Biberach</v>
      </c>
      <c r="AG349" t="str">
        <f>TRIM(MID(AF349, FIND(", ", AF349)+2, FIND(", ", AF349, FIND(", ", AF349)+1) - FIND(", ", AF349) - 2))</f>
        <v>Bibersteige 19</v>
      </c>
      <c r="AH349" t="str">
        <f>_xlfn.TEXTBEFORE(_xlfn.TEXTAFTER(AF349, ", ", 2), " ")</f>
        <v>74078</v>
      </c>
      <c r="AI349" t="str">
        <f>_xlfn.TEXTAFTER(_xlfn.TEXTAFTER(AF349, ", ", 2), " ")</f>
        <v>Heilbronn-Biberach</v>
      </c>
    </row>
    <row r="350" spans="1:35" x14ac:dyDescent="0.2">
      <c r="A350" t="str">
        <f>B350&amp;C350&amp;H350&amp;N350</f>
        <v>35000187TG BöckingenD-Junioren2</v>
      </c>
      <c r="B350" t="s">
        <v>229</v>
      </c>
      <c r="C350" t="s">
        <v>230</v>
      </c>
      <c r="D350" t="s">
        <v>34</v>
      </c>
      <c r="E350" t="s">
        <v>35</v>
      </c>
      <c r="F350" t="s">
        <v>36</v>
      </c>
      <c r="G350">
        <v>3</v>
      </c>
      <c r="H350" t="s">
        <v>833</v>
      </c>
      <c r="I350" t="s">
        <v>114</v>
      </c>
      <c r="J350" t="s">
        <v>921</v>
      </c>
      <c r="K350" t="s">
        <v>986</v>
      </c>
      <c r="L350" t="s">
        <v>1383</v>
      </c>
      <c r="M350">
        <v>1</v>
      </c>
      <c r="N350">
        <v>2</v>
      </c>
      <c r="O350" t="s">
        <v>1031</v>
      </c>
      <c r="P350" t="s">
        <v>40</v>
      </c>
      <c r="Q350" t="s">
        <v>53</v>
      </c>
      <c r="R350" t="s">
        <v>836</v>
      </c>
      <c r="T350" t="s">
        <v>837</v>
      </c>
      <c r="U350" t="s">
        <v>226</v>
      </c>
      <c r="V350" t="s">
        <v>43</v>
      </c>
      <c r="W350" t="s">
        <v>43</v>
      </c>
      <c r="Y350" t="s">
        <v>43</v>
      </c>
      <c r="Z350" t="s">
        <v>45</v>
      </c>
      <c r="AA350" t="s">
        <v>231</v>
      </c>
      <c r="AB350" t="s">
        <v>43</v>
      </c>
      <c r="AC350" t="s">
        <v>43</v>
      </c>
      <c r="AD350" t="s">
        <v>43</v>
      </c>
      <c r="AE350" t="s">
        <v>43</v>
      </c>
      <c r="AF350" t="str">
        <f>AA350</f>
        <v>Böckingen (TG) Viehweide Kunstrasen, Viehweide 20, 74080 Heilbronn-Böckingen</v>
      </c>
      <c r="AG350" t="str">
        <f>TRIM(MID(AF350, FIND(", ", AF350)+2, FIND(", ", AF350, FIND(", ", AF350)+1) - FIND(", ", AF350) - 2))</f>
        <v>Viehweide 20</v>
      </c>
      <c r="AH350" t="str">
        <f>_xlfn.TEXTBEFORE(_xlfn.TEXTAFTER(AF350, ", ", 2), " ")</f>
        <v>74080</v>
      </c>
      <c r="AI350" t="str">
        <f>_xlfn.TEXTAFTER(_xlfn.TEXTAFTER(AF350, ", ", 2), " ")</f>
        <v>Heilbronn-Böckingen</v>
      </c>
    </row>
    <row r="351" spans="1:35" x14ac:dyDescent="0.2">
      <c r="A351" t="str">
        <f>B351&amp;C351&amp;H351&amp;N351</f>
        <v>35000411Sportverein Heilbronn am Leinbach 1891D-Junioren4</v>
      </c>
      <c r="B351" t="s">
        <v>223</v>
      </c>
      <c r="C351" t="s">
        <v>224</v>
      </c>
      <c r="D351" t="s">
        <v>34</v>
      </c>
      <c r="E351" t="s">
        <v>35</v>
      </c>
      <c r="F351" t="s">
        <v>36</v>
      </c>
      <c r="G351">
        <v>3</v>
      </c>
      <c r="H351" t="s">
        <v>833</v>
      </c>
      <c r="I351" t="s">
        <v>114</v>
      </c>
      <c r="J351" t="s">
        <v>921</v>
      </c>
      <c r="K351" t="s">
        <v>986</v>
      </c>
      <c r="L351" t="s">
        <v>1383</v>
      </c>
      <c r="M351">
        <v>7</v>
      </c>
      <c r="N351">
        <v>4</v>
      </c>
      <c r="O351" t="s">
        <v>1029</v>
      </c>
      <c r="P351" t="s">
        <v>40</v>
      </c>
      <c r="Q351" t="s">
        <v>53</v>
      </c>
      <c r="R351" t="s">
        <v>836</v>
      </c>
      <c r="T351" t="s">
        <v>1000</v>
      </c>
      <c r="U351" t="s">
        <v>226</v>
      </c>
      <c r="V351" t="s">
        <v>43</v>
      </c>
      <c r="W351" t="s">
        <v>43</v>
      </c>
      <c r="Y351" t="s">
        <v>43</v>
      </c>
      <c r="Z351" t="s">
        <v>45</v>
      </c>
      <c r="AA351" t="s">
        <v>490</v>
      </c>
      <c r="AB351" t="s">
        <v>491</v>
      </c>
      <c r="AC351" t="s">
        <v>1030</v>
      </c>
      <c r="AD351" t="s">
        <v>43</v>
      </c>
      <c r="AE351" t="s">
        <v>43</v>
      </c>
      <c r="AF351" t="str">
        <f>AC351</f>
        <v>Neckargartach Rasen 2, Böllinger Str. 40, 74078 Heilbronn-Neckargartach</v>
      </c>
      <c r="AG351" t="str">
        <f>TRIM(MID(AF351, FIND(", ", AF351)+2, FIND(", ", AF351, FIND(", ", AF351)+1) - FIND(", ", AF351) - 2))</f>
        <v>Böllinger Str. 40</v>
      </c>
      <c r="AH351" t="str">
        <f>_xlfn.TEXTBEFORE(_xlfn.TEXTAFTER(AF351, ", ", 2), " ")</f>
        <v>74078</v>
      </c>
      <c r="AI351" t="str">
        <f>_xlfn.TEXTAFTER(_xlfn.TEXTAFTER(AF351, ", ", 2), " ")</f>
        <v>Heilbronn-Neckargartach</v>
      </c>
    </row>
    <row r="352" spans="1:35" x14ac:dyDescent="0.2">
      <c r="A352" t="str">
        <f>B352&amp;C352&amp;H352&amp;N352</f>
        <v>35000729SSV KlingenbergD-Junioren1</v>
      </c>
      <c r="B352" t="s">
        <v>1026</v>
      </c>
      <c r="C352" t="s">
        <v>1027</v>
      </c>
      <c r="D352" t="s">
        <v>34</v>
      </c>
      <c r="E352" t="s">
        <v>35</v>
      </c>
      <c r="F352" t="s">
        <v>36</v>
      </c>
      <c r="G352">
        <v>3</v>
      </c>
      <c r="H352" t="s">
        <v>833</v>
      </c>
      <c r="I352" t="s">
        <v>114</v>
      </c>
      <c r="J352" t="s">
        <v>921</v>
      </c>
      <c r="K352" t="s">
        <v>986</v>
      </c>
      <c r="L352" t="s">
        <v>1383</v>
      </c>
      <c r="M352">
        <v>4</v>
      </c>
      <c r="N352">
        <v>1</v>
      </c>
      <c r="O352" t="s">
        <v>1027</v>
      </c>
      <c r="P352" t="s">
        <v>40</v>
      </c>
      <c r="Q352" t="s">
        <v>53</v>
      </c>
      <c r="R352" t="s">
        <v>836</v>
      </c>
      <c r="T352" t="s">
        <v>1000</v>
      </c>
      <c r="U352" t="s">
        <v>226</v>
      </c>
      <c r="V352" t="s">
        <v>43</v>
      </c>
      <c r="W352" t="s">
        <v>43</v>
      </c>
      <c r="Y352" t="s">
        <v>226</v>
      </c>
      <c r="Z352" t="s">
        <v>45</v>
      </c>
      <c r="AA352" t="s">
        <v>1028</v>
      </c>
      <c r="AB352" t="s">
        <v>43</v>
      </c>
      <c r="AC352" t="s">
        <v>43</v>
      </c>
      <c r="AD352" t="s">
        <v>43</v>
      </c>
      <c r="AE352" t="s">
        <v>43</v>
      </c>
      <c r="AF352" t="str">
        <f>AA352</f>
        <v>Klingenberg Rasen 1, Lange Wiesen 1, 74081 Heilbronn-Klingenberg</v>
      </c>
      <c r="AG352" t="str">
        <f>TRIM(MID(AF352, FIND(", ", AF352)+2, FIND(", ", AF352, FIND(", ", AF352)+1) - FIND(", ", AF352) - 2))</f>
        <v>Lange Wiesen 1</v>
      </c>
      <c r="AH352" t="str">
        <f>_xlfn.TEXTBEFORE(_xlfn.TEXTAFTER(AF352, ", ", 2), " ")</f>
        <v>74081</v>
      </c>
      <c r="AI352" t="str">
        <f>_xlfn.TEXTAFTER(_xlfn.TEXTAFTER(AF352, ", ", 2), " ")</f>
        <v>Heilbronn-Klingenberg</v>
      </c>
    </row>
    <row r="353" spans="1:35" x14ac:dyDescent="0.2">
      <c r="A353" t="str">
        <f>B353&amp;C353&amp;H353&amp;N353</f>
        <v>35000765Spfr LauffenD-Junioren2</v>
      </c>
      <c r="B353" t="s">
        <v>390</v>
      </c>
      <c r="C353" t="s">
        <v>391</v>
      </c>
      <c r="D353" t="s">
        <v>34</v>
      </c>
      <c r="E353" t="s">
        <v>35</v>
      </c>
      <c r="F353" t="s">
        <v>36</v>
      </c>
      <c r="G353">
        <v>3</v>
      </c>
      <c r="H353" t="s">
        <v>833</v>
      </c>
      <c r="I353" t="s">
        <v>114</v>
      </c>
      <c r="J353" t="s">
        <v>921</v>
      </c>
      <c r="K353" t="s">
        <v>986</v>
      </c>
      <c r="L353" t="s">
        <v>1383</v>
      </c>
      <c r="M353">
        <v>5</v>
      </c>
      <c r="N353">
        <v>2</v>
      </c>
      <c r="O353" t="s">
        <v>987</v>
      </c>
      <c r="P353" t="s">
        <v>40</v>
      </c>
      <c r="Q353" t="s">
        <v>53</v>
      </c>
      <c r="R353" t="s">
        <v>836</v>
      </c>
      <c r="T353" t="s">
        <v>974</v>
      </c>
      <c r="U353" t="s">
        <v>226</v>
      </c>
      <c r="V353" t="s">
        <v>43</v>
      </c>
      <c r="W353" t="s">
        <v>43</v>
      </c>
      <c r="Y353" t="s">
        <v>43</v>
      </c>
      <c r="Z353" t="s">
        <v>45</v>
      </c>
      <c r="AA353" t="s">
        <v>694</v>
      </c>
      <c r="AB353" t="s">
        <v>43</v>
      </c>
      <c r="AC353" t="s">
        <v>43</v>
      </c>
      <c r="AD353" t="s">
        <v>43</v>
      </c>
      <c r="AE353" t="s">
        <v>43</v>
      </c>
      <c r="AF353" t="str">
        <f>AA353</f>
        <v>Lauffen Rasen 2, Am Forchenwald, 74348 Lauffen am Neckar</v>
      </c>
      <c r="AG353" t="str">
        <f>TRIM(MID(AF353, FIND(", ", AF353)+2, FIND(", ", AF353, FIND(", ", AF353)+1) - FIND(", ", AF353) - 2))</f>
        <v>Am Forchenwald</v>
      </c>
      <c r="AH353" t="str">
        <f>_xlfn.TEXTBEFORE(_xlfn.TEXTAFTER(AF353, ", ", 2), " ")</f>
        <v>74348</v>
      </c>
      <c r="AI353" t="str">
        <f>_xlfn.TEXTAFTER(_xlfn.TEXTAFTER(AF353, ", ", 2), " ")</f>
        <v>Lauffen am Neckar</v>
      </c>
    </row>
    <row r="354" spans="1:35" x14ac:dyDescent="0.2">
      <c r="A354" t="str">
        <f>B354&amp;C354&amp;H354&amp;N354</f>
        <v>35000837SV MassenbachhausenD-Junioren2</v>
      </c>
      <c r="B354" t="s">
        <v>723</v>
      </c>
      <c r="C354" t="s">
        <v>724</v>
      </c>
      <c r="D354" t="s">
        <v>34</v>
      </c>
      <c r="E354" t="s">
        <v>35</v>
      </c>
      <c r="F354" t="s">
        <v>36</v>
      </c>
      <c r="G354">
        <v>3</v>
      </c>
      <c r="H354" t="s">
        <v>833</v>
      </c>
      <c r="I354" t="s">
        <v>114</v>
      </c>
      <c r="J354" t="s">
        <v>921</v>
      </c>
      <c r="K354" t="s">
        <v>986</v>
      </c>
      <c r="L354" t="s">
        <v>1383</v>
      </c>
      <c r="M354">
        <v>8</v>
      </c>
      <c r="N354">
        <v>2</v>
      </c>
      <c r="O354" t="s">
        <v>1024</v>
      </c>
      <c r="P354" t="s">
        <v>40</v>
      </c>
      <c r="Q354" t="s">
        <v>53</v>
      </c>
      <c r="R354" t="s">
        <v>836</v>
      </c>
      <c r="T354" t="s">
        <v>974</v>
      </c>
      <c r="U354" t="s">
        <v>226</v>
      </c>
      <c r="V354" t="s">
        <v>43</v>
      </c>
      <c r="W354" t="s">
        <v>43</v>
      </c>
      <c r="X354" t="s">
        <v>884</v>
      </c>
      <c r="Y354" s="4" t="s">
        <v>1025</v>
      </c>
      <c r="Z354" t="s">
        <v>45</v>
      </c>
      <c r="AA354" t="s">
        <v>728</v>
      </c>
      <c r="AB354" t="s">
        <v>43</v>
      </c>
      <c r="AC354" t="s">
        <v>43</v>
      </c>
      <c r="AD354" t="s">
        <v>43</v>
      </c>
      <c r="AE354" t="s">
        <v>43</v>
      </c>
      <c r="AF354" t="str">
        <f>AA354</f>
        <v>Massenbach Rasen, Mühlweg, 74193 Schwaigern-Massenbach</v>
      </c>
      <c r="AG354" t="str">
        <f>TRIM(MID(AF354, FIND(", ", AF354)+2, FIND(", ", AF354, FIND(", ", AF354)+1) - FIND(", ", AF354) - 2))</f>
        <v>Mühlweg</v>
      </c>
      <c r="AH354" t="str">
        <f>_xlfn.TEXTBEFORE(_xlfn.TEXTAFTER(AF354, ", ", 2), " ")</f>
        <v>74193</v>
      </c>
      <c r="AI354" t="str">
        <f>_xlfn.TEXTAFTER(_xlfn.TEXTAFTER(AF354, ", ", 2), " ")</f>
        <v>Schwaigern-Massenbach</v>
      </c>
    </row>
    <row r="355" spans="1:35" x14ac:dyDescent="0.2">
      <c r="A355" t="str">
        <f>B355&amp;C355&amp;H355&amp;N355</f>
        <v>35002168TSG HeilbronnD-Junioren3</v>
      </c>
      <c r="B355" t="s">
        <v>349</v>
      </c>
      <c r="C355" t="s">
        <v>350</v>
      </c>
      <c r="D355" t="s">
        <v>34</v>
      </c>
      <c r="E355" t="s">
        <v>35</v>
      </c>
      <c r="F355" t="s">
        <v>36</v>
      </c>
      <c r="G355">
        <v>3</v>
      </c>
      <c r="H355" t="s">
        <v>833</v>
      </c>
      <c r="I355" t="s">
        <v>114</v>
      </c>
      <c r="J355" t="s">
        <v>921</v>
      </c>
      <c r="K355" t="s">
        <v>986</v>
      </c>
      <c r="L355" t="s">
        <v>1383</v>
      </c>
      <c r="M355">
        <v>2</v>
      </c>
      <c r="N355">
        <v>3</v>
      </c>
      <c r="O355" t="s">
        <v>1032</v>
      </c>
      <c r="P355" t="s">
        <v>40</v>
      </c>
      <c r="Q355" t="s">
        <v>53</v>
      </c>
      <c r="R355" t="s">
        <v>836</v>
      </c>
      <c r="T355" t="s">
        <v>837</v>
      </c>
      <c r="U355" t="s">
        <v>226</v>
      </c>
      <c r="V355" t="s">
        <v>43</v>
      </c>
      <c r="W355" t="s">
        <v>43</v>
      </c>
      <c r="X355" t="s">
        <v>1033</v>
      </c>
      <c r="Y355" s="4" t="s">
        <v>948</v>
      </c>
      <c r="Z355" t="s">
        <v>45</v>
      </c>
      <c r="AA355" t="s">
        <v>1034</v>
      </c>
      <c r="AB355" t="s">
        <v>43</v>
      </c>
      <c r="AC355" t="s">
        <v>43</v>
      </c>
      <c r="AD355" t="s">
        <v>43</v>
      </c>
      <c r="AE355" t="s">
        <v>43</v>
      </c>
      <c r="AF355" t="str">
        <f>AA355</f>
        <v>Wertwiesen (TSG) Kunstrasen, Wertwiesen 8, 74081 Heilbronn-Sontheim</v>
      </c>
      <c r="AG355" t="str">
        <f>TRIM(MID(AF355, FIND(", ", AF355)+2, FIND(", ", AF355, FIND(", ", AF355)+1) - FIND(", ", AF355) - 2))</f>
        <v>Wertwiesen 8</v>
      </c>
      <c r="AH355" t="str">
        <f>_xlfn.TEXTBEFORE(_xlfn.TEXTAFTER(AF355, ", ", 2), " ")</f>
        <v>74081</v>
      </c>
      <c r="AI355" t="str">
        <f>_xlfn.TEXTAFTER(_xlfn.TEXTAFTER(AF355, ", ", 2), " ")</f>
        <v>Heilbronn-Sontheim</v>
      </c>
    </row>
    <row r="356" spans="1:35" x14ac:dyDescent="0.2">
      <c r="A356" t="str">
        <f>B356&amp;C356&amp;H356&amp;N356</f>
        <v>35000201SV BonfeldD-Junioren2</v>
      </c>
      <c r="B356" t="s">
        <v>243</v>
      </c>
      <c r="C356" t="s">
        <v>244</v>
      </c>
      <c r="D356" t="s">
        <v>34</v>
      </c>
      <c r="E356" t="s">
        <v>35</v>
      </c>
      <c r="F356" t="s">
        <v>36</v>
      </c>
      <c r="G356">
        <v>3</v>
      </c>
      <c r="H356" t="s">
        <v>833</v>
      </c>
      <c r="I356" t="s">
        <v>114</v>
      </c>
      <c r="J356" t="s">
        <v>921</v>
      </c>
      <c r="K356" t="s">
        <v>1039</v>
      </c>
      <c r="L356" t="s">
        <v>1384</v>
      </c>
      <c r="M356">
        <v>3</v>
      </c>
      <c r="N356">
        <v>2</v>
      </c>
      <c r="O356" t="s">
        <v>1041</v>
      </c>
      <c r="P356" t="s">
        <v>40</v>
      </c>
      <c r="Q356" t="s">
        <v>40</v>
      </c>
      <c r="R356" t="s">
        <v>836</v>
      </c>
      <c r="T356" t="s">
        <v>837</v>
      </c>
      <c r="U356" t="s">
        <v>226</v>
      </c>
      <c r="V356" t="s">
        <v>43</v>
      </c>
      <c r="W356" t="s">
        <v>43</v>
      </c>
      <c r="Y356" t="s">
        <v>43</v>
      </c>
      <c r="Z356" t="s">
        <v>45</v>
      </c>
      <c r="AA356" t="s">
        <v>953</v>
      </c>
      <c r="AB356" t="s">
        <v>43</v>
      </c>
      <c r="AC356" t="s">
        <v>43</v>
      </c>
      <c r="AD356" t="s">
        <v>43</v>
      </c>
      <c r="AE356" t="s">
        <v>43</v>
      </c>
      <c r="AF356" t="str">
        <f>AA356</f>
        <v>Bonfeld Rasen 1, Im Bisland 6, 74906 Bad Rappenau-Bonfeld</v>
      </c>
      <c r="AG356" t="str">
        <f>TRIM(MID(AF356, FIND(", ", AF356)+2, FIND(", ", AF356, FIND(", ", AF356)+1) - FIND(", ", AF356) - 2))</f>
        <v>Im Bisland 6</v>
      </c>
      <c r="AH356" t="str">
        <f>_xlfn.TEXTBEFORE(_xlfn.TEXTAFTER(AF356, ", ", 2), " ")</f>
        <v>74906</v>
      </c>
      <c r="AI356" t="str">
        <f>_xlfn.TEXTAFTER(_xlfn.TEXTAFTER(AF356, ", ", 2), " ")</f>
        <v>Bad Rappenau-Bonfeld</v>
      </c>
    </row>
    <row r="357" spans="1:35" x14ac:dyDescent="0.2">
      <c r="A357" t="str">
        <f>B357&amp;C357&amp;H357&amp;N357</f>
        <v>35000205VfL BrackenheimD-Junioren2</v>
      </c>
      <c r="B357" t="s">
        <v>865</v>
      </c>
      <c r="C357" t="s">
        <v>866</v>
      </c>
      <c r="D357" t="s">
        <v>34</v>
      </c>
      <c r="E357" t="s">
        <v>35</v>
      </c>
      <c r="F357" t="s">
        <v>36</v>
      </c>
      <c r="G357">
        <v>3</v>
      </c>
      <c r="H357" t="s">
        <v>833</v>
      </c>
      <c r="I357" t="s">
        <v>114</v>
      </c>
      <c r="J357" t="s">
        <v>921</v>
      </c>
      <c r="K357" t="s">
        <v>1039</v>
      </c>
      <c r="L357" t="s">
        <v>1384</v>
      </c>
      <c r="M357">
        <v>6</v>
      </c>
      <c r="N357">
        <v>2</v>
      </c>
      <c r="O357" t="s">
        <v>1057</v>
      </c>
      <c r="P357" t="s">
        <v>40</v>
      </c>
      <c r="Q357" t="s">
        <v>53</v>
      </c>
      <c r="R357" t="s">
        <v>836</v>
      </c>
      <c r="T357" t="s">
        <v>837</v>
      </c>
      <c r="U357" t="s">
        <v>226</v>
      </c>
      <c r="V357" t="s">
        <v>43</v>
      </c>
      <c r="W357" t="s">
        <v>43</v>
      </c>
      <c r="Y357" t="s">
        <v>43</v>
      </c>
      <c r="Z357" t="s">
        <v>45</v>
      </c>
      <c r="AA357" t="s">
        <v>395</v>
      </c>
      <c r="AB357" t="s">
        <v>868</v>
      </c>
      <c r="AC357" t="s">
        <v>869</v>
      </c>
      <c r="AD357" t="s">
        <v>43</v>
      </c>
      <c r="AE357" t="s">
        <v>43</v>
      </c>
      <c r="AF357" t="str">
        <f>AC357</f>
        <v>Meimsheim Rasen 2, Alter Lauffener Weg, 74336 Brackenheim-Meimsheim</v>
      </c>
      <c r="AG357" t="str">
        <f>TRIM(MID(AF357, FIND(", ", AF357)+2, FIND(", ", AF357, FIND(", ", AF357)+1) - FIND(", ", AF357) - 2))</f>
        <v>Alter Lauffener Weg</v>
      </c>
      <c r="AH357" t="str">
        <f>_xlfn.TEXTBEFORE(_xlfn.TEXTAFTER(AF357, ", ", 2), " ")</f>
        <v>74336</v>
      </c>
      <c r="AI357" t="str">
        <f>_xlfn.TEXTAFTER(_xlfn.TEXTAFTER(AF357, ", ", 2), " ")</f>
        <v>Brackenheim-Meimsheim</v>
      </c>
    </row>
    <row r="358" spans="1:35" x14ac:dyDescent="0.2">
      <c r="A358" t="str">
        <f>B358&amp;C358&amp;H358&amp;N358</f>
        <v>35000236TSV CleebronnD-Junioren2</v>
      </c>
      <c r="B358" t="s">
        <v>123</v>
      </c>
      <c r="C358" t="s">
        <v>124</v>
      </c>
      <c r="D358" t="s">
        <v>34</v>
      </c>
      <c r="E358" t="s">
        <v>35</v>
      </c>
      <c r="F358" t="s">
        <v>36</v>
      </c>
      <c r="G358">
        <v>3</v>
      </c>
      <c r="H358" t="s">
        <v>833</v>
      </c>
      <c r="I358" t="s">
        <v>114</v>
      </c>
      <c r="J358" t="s">
        <v>921</v>
      </c>
      <c r="K358" t="s">
        <v>1039</v>
      </c>
      <c r="L358" t="s">
        <v>1384</v>
      </c>
      <c r="M358">
        <v>4</v>
      </c>
      <c r="N358">
        <v>2</v>
      </c>
      <c r="O358" t="s">
        <v>1042</v>
      </c>
      <c r="P358" t="s">
        <v>40</v>
      </c>
      <c r="Q358" t="s">
        <v>40</v>
      </c>
      <c r="R358" t="s">
        <v>836</v>
      </c>
      <c r="T358" t="s">
        <v>837</v>
      </c>
      <c r="U358" t="s">
        <v>226</v>
      </c>
      <c r="V358" t="s">
        <v>43</v>
      </c>
      <c r="W358" t="s">
        <v>43</v>
      </c>
      <c r="Y358" t="s">
        <v>992</v>
      </c>
      <c r="Z358" t="s">
        <v>45</v>
      </c>
      <c r="AA358" t="s">
        <v>1043</v>
      </c>
      <c r="AB358" t="s">
        <v>43</v>
      </c>
      <c r="AC358" t="s">
        <v>43</v>
      </c>
      <c r="AD358" t="s">
        <v>43</v>
      </c>
      <c r="AE358" t="s">
        <v>43</v>
      </c>
      <c r="AF358" t="str">
        <f>AA358</f>
        <v>Stockheim Rasen, Schulstr., 74336 Brackenheim-Stockheim</v>
      </c>
      <c r="AG358" t="str">
        <f>TRIM(MID(AF358, FIND(", ", AF358)+2, FIND(", ", AF358, FIND(", ", AF358)+1) - FIND(", ", AF358) - 2))</f>
        <v>Schulstr.</v>
      </c>
      <c r="AH358" t="str">
        <f>_xlfn.TEXTBEFORE(_xlfn.TEXTAFTER(AF358, ", ", 2), " ")</f>
        <v>74336</v>
      </c>
      <c r="AI358" t="str">
        <f>_xlfn.TEXTAFTER(_xlfn.TEXTAFTER(AF358, ", ", 2), " ")</f>
        <v>Brackenheim-Stockheim</v>
      </c>
    </row>
    <row r="359" spans="1:35" x14ac:dyDescent="0.2">
      <c r="A359" t="str">
        <f>B359&amp;C359&amp;H359&amp;N359</f>
        <v>35000515TSV GüglingenD-Junioren2</v>
      </c>
      <c r="B359" t="s">
        <v>715</v>
      </c>
      <c r="C359" t="s">
        <v>716</v>
      </c>
      <c r="D359" t="s">
        <v>34</v>
      </c>
      <c r="E359" t="s">
        <v>35</v>
      </c>
      <c r="F359" t="s">
        <v>36</v>
      </c>
      <c r="G359">
        <v>3</v>
      </c>
      <c r="H359" t="s">
        <v>833</v>
      </c>
      <c r="I359" t="s">
        <v>114</v>
      </c>
      <c r="J359" t="s">
        <v>921</v>
      </c>
      <c r="K359" t="s">
        <v>1039</v>
      </c>
      <c r="L359" t="s">
        <v>1384</v>
      </c>
      <c r="M359">
        <v>1</v>
      </c>
      <c r="N359">
        <v>2</v>
      </c>
      <c r="O359" t="s">
        <v>1044</v>
      </c>
      <c r="P359" t="s">
        <v>40</v>
      </c>
      <c r="Q359" t="s">
        <v>40</v>
      </c>
      <c r="R359" t="s">
        <v>836</v>
      </c>
      <c r="T359" t="s">
        <v>974</v>
      </c>
      <c r="U359" t="s">
        <v>226</v>
      </c>
      <c r="V359" t="s">
        <v>43</v>
      </c>
      <c r="W359" t="s">
        <v>43</v>
      </c>
      <c r="X359" t="s">
        <v>1045</v>
      </c>
      <c r="Y359" s="4" t="s">
        <v>1046</v>
      </c>
      <c r="Z359" t="s">
        <v>45</v>
      </c>
      <c r="AA359" t="s">
        <v>718</v>
      </c>
      <c r="AB359" t="s">
        <v>43</v>
      </c>
      <c r="AC359" t="s">
        <v>43</v>
      </c>
      <c r="AD359" t="s">
        <v>43</v>
      </c>
      <c r="AE359" t="s">
        <v>43</v>
      </c>
      <c r="AF359" t="str">
        <f>AA359</f>
        <v>Güglingen Rasen 1 (Stadion), An der Weinsteige 1, 74363 Güglingen-Zentrum</v>
      </c>
      <c r="AG359" t="str">
        <f>TRIM(MID(AF359, FIND(", ", AF359)+2, FIND(", ", AF359, FIND(", ", AF359)+1) - FIND(", ", AF359) - 2))</f>
        <v>An der Weinsteige 1</v>
      </c>
      <c r="AH359" t="str">
        <f>_xlfn.TEXTBEFORE(_xlfn.TEXTAFTER(AF359, ", ", 2), " ")</f>
        <v>74363</v>
      </c>
      <c r="AI359" t="str">
        <f>_xlfn.TEXTAFTER(_xlfn.TEXTAFTER(AF359, ", ", 2), " ")</f>
        <v>Güglingen-Zentrum</v>
      </c>
    </row>
    <row r="360" spans="1:35" x14ac:dyDescent="0.2">
      <c r="A360" t="str">
        <f>B360&amp;C360&amp;H360&amp;N360</f>
        <v>35000837SV MassenbachhausenD-Junioren1</v>
      </c>
      <c r="B360" t="s">
        <v>723</v>
      </c>
      <c r="C360" t="s">
        <v>724</v>
      </c>
      <c r="D360" t="s">
        <v>34</v>
      </c>
      <c r="E360" t="s">
        <v>35</v>
      </c>
      <c r="F360" t="s">
        <v>36</v>
      </c>
      <c r="G360">
        <v>3</v>
      </c>
      <c r="H360" t="s">
        <v>833</v>
      </c>
      <c r="I360" t="s">
        <v>114</v>
      </c>
      <c r="J360" t="s">
        <v>921</v>
      </c>
      <c r="K360" t="s">
        <v>1039</v>
      </c>
      <c r="L360" t="s">
        <v>1384</v>
      </c>
      <c r="M360">
        <v>7</v>
      </c>
      <c r="N360">
        <v>1</v>
      </c>
      <c r="O360" t="s">
        <v>1047</v>
      </c>
      <c r="P360" t="s">
        <v>40</v>
      </c>
      <c r="Q360" t="s">
        <v>53</v>
      </c>
      <c r="R360" t="s">
        <v>836</v>
      </c>
      <c r="T360" t="s">
        <v>974</v>
      </c>
      <c r="U360" t="s">
        <v>226</v>
      </c>
      <c r="V360" t="s">
        <v>43</v>
      </c>
      <c r="W360" t="s">
        <v>43</v>
      </c>
      <c r="X360" t="s">
        <v>1048</v>
      </c>
      <c r="Y360" s="4" t="s">
        <v>1049</v>
      </c>
      <c r="Z360" t="s">
        <v>45</v>
      </c>
      <c r="AA360" t="s">
        <v>728</v>
      </c>
      <c r="AB360" t="s">
        <v>43</v>
      </c>
      <c r="AC360" t="s">
        <v>43</v>
      </c>
      <c r="AD360" t="s">
        <v>43</v>
      </c>
      <c r="AE360" t="s">
        <v>43</v>
      </c>
      <c r="AF360" t="str">
        <f>AA360</f>
        <v>Massenbach Rasen, Mühlweg, 74193 Schwaigern-Massenbach</v>
      </c>
      <c r="AG360" t="str">
        <f>TRIM(MID(AF360, FIND(", ", AF360)+2, FIND(", ", AF360, FIND(", ", AF360)+1) - FIND(", ", AF360) - 2))</f>
        <v>Mühlweg</v>
      </c>
      <c r="AH360" t="str">
        <f>_xlfn.TEXTBEFORE(_xlfn.TEXTAFTER(AF360, ", ", 2), " ")</f>
        <v>74193</v>
      </c>
      <c r="AI360" t="str">
        <f>_xlfn.TEXTAFTER(_xlfn.TEXTAFTER(AF360, ", ", 2), " ")</f>
        <v>Schwaigern-Massenbach</v>
      </c>
    </row>
    <row r="361" spans="1:35" x14ac:dyDescent="0.2">
      <c r="A361" t="str">
        <f>B361&amp;C361&amp;H361&amp;N361</f>
        <v>35000951TSV Nordheim FußballD-Junioren2</v>
      </c>
      <c r="B361" t="s">
        <v>954</v>
      </c>
      <c r="C361" t="s">
        <v>955</v>
      </c>
      <c r="D361" t="s">
        <v>34</v>
      </c>
      <c r="E361" t="s">
        <v>35</v>
      </c>
      <c r="F361" t="s">
        <v>36</v>
      </c>
      <c r="G361">
        <v>3</v>
      </c>
      <c r="H361" t="s">
        <v>833</v>
      </c>
      <c r="I361" t="s">
        <v>114</v>
      </c>
      <c r="J361" t="s">
        <v>921</v>
      </c>
      <c r="K361" t="s">
        <v>1039</v>
      </c>
      <c r="L361" t="s">
        <v>1384</v>
      </c>
      <c r="M361">
        <v>8</v>
      </c>
      <c r="N361">
        <v>2</v>
      </c>
      <c r="O361" t="s">
        <v>1050</v>
      </c>
      <c r="P361" t="s">
        <v>40</v>
      </c>
      <c r="Q361" t="s">
        <v>53</v>
      </c>
      <c r="R361" t="s">
        <v>836</v>
      </c>
      <c r="T361" t="s">
        <v>837</v>
      </c>
      <c r="U361" t="s">
        <v>226</v>
      </c>
      <c r="V361" t="s">
        <v>43</v>
      </c>
      <c r="W361" t="s">
        <v>43</v>
      </c>
      <c r="X361" t="s">
        <v>1051</v>
      </c>
      <c r="Y361" s="4" t="s">
        <v>1052</v>
      </c>
      <c r="Z361" t="s">
        <v>45</v>
      </c>
      <c r="AA361" t="s">
        <v>958</v>
      </c>
      <c r="AB361" t="s">
        <v>43</v>
      </c>
      <c r="AC361" t="s">
        <v>43</v>
      </c>
      <c r="AD361" t="s">
        <v>43</v>
      </c>
      <c r="AE361" t="s">
        <v>43</v>
      </c>
      <c r="AF361" t="str">
        <f>AA361</f>
        <v>Nordheim Kunstrasen, Breibachweg, 74226 Nordheim-Zentrum</v>
      </c>
      <c r="AG361" t="str">
        <f>TRIM(MID(AF361, FIND(", ", AF361)+2, FIND(", ", AF361, FIND(", ", AF361)+1) - FIND(", ", AF361) - 2))</f>
        <v>Breibachweg</v>
      </c>
      <c r="AH361" t="str">
        <f>_xlfn.TEXTBEFORE(_xlfn.TEXTAFTER(AF361, ", ", 2), " ")</f>
        <v>74226</v>
      </c>
      <c r="AI361" t="str">
        <f>_xlfn.TEXTAFTER(_xlfn.TEXTAFTER(AF361, ", ", 2), " ")</f>
        <v>Nordheim-Zentrum</v>
      </c>
    </row>
    <row r="362" spans="1:35" x14ac:dyDescent="0.2">
      <c r="A362" t="str">
        <f>B362&amp;C362&amp;H362&amp;N362</f>
        <v>35001763FSV SchwaigernD-Junioren2</v>
      </c>
      <c r="B362" t="s">
        <v>630</v>
      </c>
      <c r="C362" t="s">
        <v>631</v>
      </c>
      <c r="D362" t="s">
        <v>34</v>
      </c>
      <c r="E362" t="s">
        <v>35</v>
      </c>
      <c r="F362" t="s">
        <v>36</v>
      </c>
      <c r="G362">
        <v>3</v>
      </c>
      <c r="H362" t="s">
        <v>833</v>
      </c>
      <c r="I362" t="s">
        <v>114</v>
      </c>
      <c r="J362" t="s">
        <v>921</v>
      </c>
      <c r="K362" t="s">
        <v>1039</v>
      </c>
      <c r="L362" t="s">
        <v>1384</v>
      </c>
      <c r="M362">
        <v>5</v>
      </c>
      <c r="N362">
        <v>2</v>
      </c>
      <c r="O362" t="s">
        <v>1040</v>
      </c>
      <c r="P362" t="s">
        <v>40</v>
      </c>
      <c r="Q362" t="s">
        <v>53</v>
      </c>
      <c r="R362" t="s">
        <v>836</v>
      </c>
      <c r="T362" t="s">
        <v>837</v>
      </c>
      <c r="U362" t="s">
        <v>226</v>
      </c>
      <c r="V362" t="s">
        <v>43</v>
      </c>
      <c r="W362" t="s">
        <v>43</v>
      </c>
      <c r="Y362" t="s">
        <v>43</v>
      </c>
      <c r="Z362" t="s">
        <v>45</v>
      </c>
      <c r="AA362" t="s">
        <v>848</v>
      </c>
      <c r="AB362" t="s">
        <v>43</v>
      </c>
      <c r="AC362" t="s">
        <v>43</v>
      </c>
      <c r="AD362" t="s">
        <v>43</v>
      </c>
      <c r="AE362" t="s">
        <v>43</v>
      </c>
      <c r="AF362" t="str">
        <f>AA362</f>
        <v>Schwaigern Rasen 2 (oberes Spielfeld), Falltorstr. 10, 74193 Schwaigern-Zentrum</v>
      </c>
      <c r="AG362" t="str">
        <f>TRIM(MID(AF362, FIND(", ", AF362)+2, FIND(", ", AF362, FIND(", ", AF362)+1) - FIND(", ", AF362) - 2))</f>
        <v>Falltorstr. 10</v>
      </c>
      <c r="AH362" t="str">
        <f>_xlfn.TEXTBEFORE(_xlfn.TEXTAFTER(AF362, ", ", 2), " ")</f>
        <v>74193</v>
      </c>
      <c r="AI362" t="str">
        <f>_xlfn.TEXTAFTER(_xlfn.TEXTAFTER(AF362, ", ", 2), " ")</f>
        <v>Schwaigern-Zentrum</v>
      </c>
    </row>
    <row r="363" spans="1:35" x14ac:dyDescent="0.2">
      <c r="A363" t="str">
        <f>B363&amp;C363&amp;H363&amp;N363</f>
        <v>35002162SG Stetten-KleingartachD-Junioren1</v>
      </c>
      <c r="B363" t="s">
        <v>385</v>
      </c>
      <c r="C363" t="s">
        <v>386</v>
      </c>
      <c r="D363" t="s">
        <v>34</v>
      </c>
      <c r="E363" t="s">
        <v>35</v>
      </c>
      <c r="F363" t="s">
        <v>36</v>
      </c>
      <c r="G363">
        <v>3</v>
      </c>
      <c r="H363" t="s">
        <v>833</v>
      </c>
      <c r="I363" t="s">
        <v>114</v>
      </c>
      <c r="J363" t="s">
        <v>921</v>
      </c>
      <c r="K363" t="s">
        <v>1039</v>
      </c>
      <c r="L363" t="s">
        <v>1384</v>
      </c>
      <c r="M363">
        <v>2</v>
      </c>
      <c r="N363">
        <v>1</v>
      </c>
      <c r="O363" t="s">
        <v>1053</v>
      </c>
      <c r="P363" t="s">
        <v>40</v>
      </c>
      <c r="Q363" t="s">
        <v>53</v>
      </c>
      <c r="R363" t="s">
        <v>836</v>
      </c>
      <c r="T363" t="s">
        <v>837</v>
      </c>
      <c r="U363" t="s">
        <v>226</v>
      </c>
      <c r="V363" t="s">
        <v>43</v>
      </c>
      <c r="W363" t="s">
        <v>43</v>
      </c>
      <c r="X363" t="s">
        <v>1054</v>
      </c>
      <c r="Y363" s="4" t="s">
        <v>1055</v>
      </c>
      <c r="Z363" t="s">
        <v>45</v>
      </c>
      <c r="AA363" t="s">
        <v>1056</v>
      </c>
      <c r="AB363" t="s">
        <v>43</v>
      </c>
      <c r="AC363" t="s">
        <v>43</v>
      </c>
      <c r="AD363" t="s">
        <v>43</v>
      </c>
      <c r="AE363" t="s">
        <v>43</v>
      </c>
      <c r="AF363" t="str">
        <f>AA363</f>
        <v>Stetten Rasen 2, Austr., 74193 Schwaigern-Stetten</v>
      </c>
      <c r="AG363" t="str">
        <f>TRIM(MID(AF363, FIND(", ", AF363)+2, FIND(", ", AF363, FIND(", ", AF363)+1) - FIND(", ", AF363) - 2))</f>
        <v>Austr.</v>
      </c>
      <c r="AH363" t="str">
        <f>_xlfn.TEXTBEFORE(_xlfn.TEXTAFTER(AF363, ", ", 2), " ")</f>
        <v>74193</v>
      </c>
      <c r="AI363" t="str">
        <f>_xlfn.TEXTAFTER(_xlfn.TEXTAFTER(AF363, ", ", 2), " ")</f>
        <v>Schwaigern-Stetten</v>
      </c>
    </row>
    <row r="364" spans="1:35" x14ac:dyDescent="0.2">
      <c r="A364" t="str">
        <f>B364&amp;C364&amp;H364&amp;N364</f>
        <v>35000062SC AmrichshausenD-Junioren1</v>
      </c>
      <c r="B364" t="s">
        <v>1058</v>
      </c>
      <c r="C364" t="s">
        <v>1059</v>
      </c>
      <c r="D364" t="s">
        <v>49</v>
      </c>
      <c r="E364" t="s">
        <v>35</v>
      </c>
      <c r="F364" t="s">
        <v>50</v>
      </c>
      <c r="G364">
        <v>3</v>
      </c>
      <c r="H364" t="s">
        <v>833</v>
      </c>
      <c r="I364" t="s">
        <v>114</v>
      </c>
      <c r="J364" t="s">
        <v>965</v>
      </c>
      <c r="K364" t="s">
        <v>966</v>
      </c>
      <c r="L364" t="s">
        <v>1391</v>
      </c>
      <c r="M364">
        <v>8</v>
      </c>
      <c r="N364">
        <v>1</v>
      </c>
      <c r="O364" t="s">
        <v>1060</v>
      </c>
      <c r="P364" t="s">
        <v>40</v>
      </c>
      <c r="Q364" t="s">
        <v>40</v>
      </c>
      <c r="R364" t="s">
        <v>836</v>
      </c>
      <c r="T364" t="s">
        <v>974</v>
      </c>
      <c r="U364" t="s">
        <v>226</v>
      </c>
      <c r="V364" t="s">
        <v>43</v>
      </c>
      <c r="W364" t="s">
        <v>43</v>
      </c>
      <c r="Y364" t="s">
        <v>1061</v>
      </c>
      <c r="Z364" t="s">
        <v>45</v>
      </c>
      <c r="AA364" t="s">
        <v>1062</v>
      </c>
      <c r="AB364" t="s">
        <v>43</v>
      </c>
      <c r="AC364" t="s">
        <v>43</v>
      </c>
      <c r="AD364" t="s">
        <v>43</v>
      </c>
      <c r="AE364" t="s">
        <v>43</v>
      </c>
      <c r="AF364" t="str">
        <f>AA364</f>
        <v>Sportplatz 2 Amrichshausen, Grabenteichweg 25, 74653 Künzelsau-Amrichshausen</v>
      </c>
      <c r="AG364" t="str">
        <f>TRIM(MID(AF364, FIND(", ", AF364)+2, FIND(", ", AF364, FIND(", ", AF364)+1) - FIND(", ", AF364) - 2))</f>
        <v>Grabenteichweg 25</v>
      </c>
      <c r="AH364" t="str">
        <f>_xlfn.TEXTBEFORE(_xlfn.TEXTAFTER(AF364, ", ", 2), " ")</f>
        <v>74653</v>
      </c>
      <c r="AI364" t="str">
        <f>_xlfn.TEXTAFTER(_xlfn.TEXTAFTER(AF364, ", ", 2), " ")</f>
        <v>Künzelsau-Amrichshausen</v>
      </c>
    </row>
    <row r="365" spans="1:35" x14ac:dyDescent="0.2">
      <c r="A365" t="str">
        <f>B365&amp;C365&amp;H365&amp;N365</f>
        <v>35001712TSV KrautheimD-Junioren2</v>
      </c>
      <c r="B365" t="s">
        <v>872</v>
      </c>
      <c r="C365" t="s">
        <v>873</v>
      </c>
      <c r="D365" t="s">
        <v>49</v>
      </c>
      <c r="E365" t="s">
        <v>35</v>
      </c>
      <c r="F365" t="s">
        <v>50</v>
      </c>
      <c r="G365">
        <v>3</v>
      </c>
      <c r="H365" t="s">
        <v>833</v>
      </c>
      <c r="I365" t="s">
        <v>114</v>
      </c>
      <c r="J365" t="s">
        <v>965</v>
      </c>
      <c r="K365" t="s">
        <v>966</v>
      </c>
      <c r="L365" t="s">
        <v>1391</v>
      </c>
      <c r="M365">
        <v>4</v>
      </c>
      <c r="N365">
        <v>2</v>
      </c>
      <c r="O365" t="s">
        <v>1065</v>
      </c>
      <c r="P365" t="s">
        <v>40</v>
      </c>
      <c r="Q365" t="s">
        <v>53</v>
      </c>
      <c r="R365" t="s">
        <v>836</v>
      </c>
      <c r="T365" t="s">
        <v>974</v>
      </c>
      <c r="U365" t="s">
        <v>226</v>
      </c>
      <c r="V365" t="s">
        <v>43</v>
      </c>
      <c r="W365" t="s">
        <v>43</v>
      </c>
      <c r="Y365" t="s">
        <v>876</v>
      </c>
      <c r="Z365" t="s">
        <v>45</v>
      </c>
      <c r="AA365" t="s">
        <v>1066</v>
      </c>
      <c r="AB365" t="s">
        <v>43</v>
      </c>
      <c r="AC365" t="s">
        <v>43</v>
      </c>
      <c r="AD365" t="s">
        <v>43</v>
      </c>
      <c r="AE365" t="s">
        <v>43</v>
      </c>
      <c r="AF365" t="str">
        <f>AA365</f>
        <v>Sportplatz 1, TSV Dörzbach, Meßbacher Str., 74677 Dörzbach-Zentrum</v>
      </c>
      <c r="AG365" t="str">
        <f>_xlfn.TEXTBEFORE(_xlfn.TEXTAFTER(AF365, ", ", 2), ",")</f>
        <v>Meßbacher Str.</v>
      </c>
      <c r="AH365" t="str">
        <f>_xlfn.TEXTBEFORE(_xlfn.TEXTAFTER(AF365, ", ", 3), " ")</f>
        <v>74677</v>
      </c>
      <c r="AI365" t="str">
        <f>_xlfn.TEXTAFTER(_xlfn.TEXTAFTER(AF365, ", ", 3), " ")</f>
        <v>Dörzbach-Zentrum</v>
      </c>
    </row>
    <row r="366" spans="1:35" x14ac:dyDescent="0.2">
      <c r="A366" t="str">
        <f>B366&amp;C366&amp;H366&amp;N366</f>
        <v>35000239FC CreglingenD-Junioren1</v>
      </c>
      <c r="B366" t="s">
        <v>311</v>
      </c>
      <c r="C366" t="s">
        <v>312</v>
      </c>
      <c r="D366" t="s">
        <v>204</v>
      </c>
      <c r="E366" t="s">
        <v>35</v>
      </c>
      <c r="F366" t="s">
        <v>50</v>
      </c>
      <c r="G366">
        <v>3</v>
      </c>
      <c r="H366" t="s">
        <v>833</v>
      </c>
      <c r="I366" t="s">
        <v>844</v>
      </c>
      <c r="J366" t="s">
        <v>965</v>
      </c>
      <c r="K366" t="s">
        <v>966</v>
      </c>
      <c r="L366" t="s">
        <v>1391</v>
      </c>
      <c r="M366">
        <v>6</v>
      </c>
      <c r="N366">
        <v>1</v>
      </c>
      <c r="O366" t="s">
        <v>968</v>
      </c>
      <c r="P366" t="s">
        <v>40</v>
      </c>
      <c r="Q366" t="s">
        <v>53</v>
      </c>
      <c r="R366" t="s">
        <v>836</v>
      </c>
      <c r="T366" t="s">
        <v>837</v>
      </c>
      <c r="U366" t="s">
        <v>118</v>
      </c>
      <c r="V366" t="s">
        <v>43</v>
      </c>
      <c r="W366" t="s">
        <v>43</v>
      </c>
      <c r="Y366" t="s">
        <v>43</v>
      </c>
      <c r="Z366" t="s">
        <v>45</v>
      </c>
      <c r="AA366" t="s">
        <v>315</v>
      </c>
      <c r="AB366" t="s">
        <v>43</v>
      </c>
      <c r="AC366" t="s">
        <v>43</v>
      </c>
      <c r="AD366" t="s">
        <v>43</v>
      </c>
      <c r="AE366" t="s">
        <v>43</v>
      </c>
      <c r="AF366" t="str">
        <f>AA366</f>
        <v>Sportplatz 1 FC Creglingen, Rothenburger Str., 97993 Creglingen-Zentrum</v>
      </c>
      <c r="AG366" t="str">
        <f>TRIM(MID(AF366, FIND(", ", AF366)+2, FIND(", ", AF366, FIND(", ", AF366)+1) - FIND(", ", AF366) - 2))</f>
        <v>Rothenburger Str.</v>
      </c>
      <c r="AH366" t="str">
        <f>_xlfn.TEXTBEFORE(_xlfn.TEXTAFTER(AF366, ", ", 2), " ")</f>
        <v>97993</v>
      </c>
      <c r="AI366" t="str">
        <f>_xlfn.TEXTAFTER(_xlfn.TEXTAFTER(AF366, ", ", 2), " ")</f>
        <v>Creglingen-Zentrum</v>
      </c>
    </row>
    <row r="367" spans="1:35" x14ac:dyDescent="0.2">
      <c r="A367" t="str">
        <f>B367&amp;C367&amp;H367&amp;N367</f>
        <v>35000239FC CreglingenD-Junioren2</v>
      </c>
      <c r="B367" t="s">
        <v>311</v>
      </c>
      <c r="C367" t="s">
        <v>312</v>
      </c>
      <c r="D367" t="s">
        <v>204</v>
      </c>
      <c r="E367" t="s">
        <v>35</v>
      </c>
      <c r="F367" t="s">
        <v>50</v>
      </c>
      <c r="G367">
        <v>3</v>
      </c>
      <c r="H367" t="s">
        <v>833</v>
      </c>
      <c r="I367" t="s">
        <v>114</v>
      </c>
      <c r="J367" t="s">
        <v>965</v>
      </c>
      <c r="K367" t="s">
        <v>966</v>
      </c>
      <c r="L367" t="s">
        <v>1391</v>
      </c>
      <c r="M367">
        <v>5</v>
      </c>
      <c r="N367">
        <v>2</v>
      </c>
      <c r="O367" t="s">
        <v>1064</v>
      </c>
      <c r="P367" t="s">
        <v>40</v>
      </c>
      <c r="Q367" t="s">
        <v>53</v>
      </c>
      <c r="R367" t="s">
        <v>836</v>
      </c>
      <c r="T367" t="s">
        <v>837</v>
      </c>
      <c r="U367" t="s">
        <v>226</v>
      </c>
      <c r="V367" t="s">
        <v>43</v>
      </c>
      <c r="W367" t="s">
        <v>43</v>
      </c>
      <c r="Y367" t="s">
        <v>43</v>
      </c>
      <c r="Z367" t="s">
        <v>45</v>
      </c>
      <c r="AA367" t="s">
        <v>315</v>
      </c>
      <c r="AB367" t="s">
        <v>43</v>
      </c>
      <c r="AC367" t="s">
        <v>43</v>
      </c>
      <c r="AD367" t="s">
        <v>43</v>
      </c>
      <c r="AE367" t="s">
        <v>43</v>
      </c>
      <c r="AF367" t="str">
        <f>AA367</f>
        <v>Sportplatz 1 FC Creglingen, Rothenburger Str., 97993 Creglingen-Zentrum</v>
      </c>
      <c r="AG367" t="str">
        <f>TRIM(MID(AF367, FIND(", ", AF367)+2, FIND(", ", AF367, FIND(", ", AF367)+1) - FIND(", ", AF367) - 2))</f>
        <v>Rothenburger Str.</v>
      </c>
      <c r="AH367" t="str">
        <f>_xlfn.TEXTBEFORE(_xlfn.TEXTAFTER(AF367, ", ", 2), " ")</f>
        <v>97993</v>
      </c>
      <c r="AI367" t="str">
        <f>_xlfn.TEXTAFTER(_xlfn.TEXTAFTER(AF367, ", ", 2), " ")</f>
        <v>Creglingen-Zentrum</v>
      </c>
    </row>
    <row r="368" spans="1:35" x14ac:dyDescent="0.2">
      <c r="A368" t="str">
        <f>B368&amp;C368&amp;H368&amp;N368</f>
        <v>35000846VfB Bad MergentheimD-Junioren2</v>
      </c>
      <c r="B368" t="s">
        <v>202</v>
      </c>
      <c r="C368" t="s">
        <v>203</v>
      </c>
      <c r="D368" t="s">
        <v>204</v>
      </c>
      <c r="E368" t="s">
        <v>35</v>
      </c>
      <c r="F368" t="s">
        <v>50</v>
      </c>
      <c r="G368">
        <v>3</v>
      </c>
      <c r="H368" t="s">
        <v>833</v>
      </c>
      <c r="I368" t="s">
        <v>114</v>
      </c>
      <c r="J368" t="s">
        <v>965</v>
      </c>
      <c r="K368" t="s">
        <v>966</v>
      </c>
      <c r="L368" t="s">
        <v>1391</v>
      </c>
      <c r="M368">
        <v>3</v>
      </c>
      <c r="N368">
        <v>2</v>
      </c>
      <c r="O368" t="s">
        <v>1069</v>
      </c>
      <c r="P368" t="s">
        <v>40</v>
      </c>
      <c r="Q368" t="s">
        <v>53</v>
      </c>
      <c r="R368" t="s">
        <v>836</v>
      </c>
      <c r="T368" t="s">
        <v>837</v>
      </c>
      <c r="U368" t="s">
        <v>226</v>
      </c>
      <c r="V368" t="s">
        <v>43</v>
      </c>
      <c r="W368" t="s">
        <v>43</v>
      </c>
      <c r="Y368" t="s">
        <v>43</v>
      </c>
      <c r="Z368" t="s">
        <v>45</v>
      </c>
      <c r="AA368" t="s">
        <v>445</v>
      </c>
      <c r="AB368" t="s">
        <v>43</v>
      </c>
      <c r="AC368" t="s">
        <v>43</v>
      </c>
      <c r="AD368" t="s">
        <v>43</v>
      </c>
      <c r="AE368" t="s">
        <v>43</v>
      </c>
      <c r="AF368" t="str">
        <f>AA368</f>
        <v>Nebenplatz am Stadion, Arkau 3, 97980 Bad Mergentheim</v>
      </c>
      <c r="AG368" t="str">
        <f>TRIM(MID(AF368, FIND(", ", AF368)+2, FIND(", ", AF368, FIND(", ", AF368)+1) - FIND(", ", AF368) - 2))</f>
        <v>Arkau 3</v>
      </c>
      <c r="AH368" t="str">
        <f>_xlfn.TEXTBEFORE(_xlfn.TEXTAFTER(AF368, ", ", 2), " ")</f>
        <v>97980</v>
      </c>
      <c r="AI368" t="str">
        <f>_xlfn.TEXTAFTER(_xlfn.TEXTAFTER(AF368, ", ", 2), " ")</f>
        <v>Bad Mergentheim</v>
      </c>
    </row>
    <row r="369" spans="1:35" x14ac:dyDescent="0.2">
      <c r="A369" t="str">
        <f>B369&amp;C369&amp;H369&amp;N369</f>
        <v>35000946TV NiederstettenD-Junioren2</v>
      </c>
      <c r="B369" t="s">
        <v>329</v>
      </c>
      <c r="C369" t="s">
        <v>330</v>
      </c>
      <c r="D369" t="s">
        <v>204</v>
      </c>
      <c r="E369" t="s">
        <v>35</v>
      </c>
      <c r="F369" t="s">
        <v>50</v>
      </c>
      <c r="G369">
        <v>3</v>
      </c>
      <c r="H369" t="s">
        <v>833</v>
      </c>
      <c r="I369" t="s">
        <v>114</v>
      </c>
      <c r="J369" t="s">
        <v>965</v>
      </c>
      <c r="K369" t="s">
        <v>966</v>
      </c>
      <c r="L369" t="s">
        <v>1391</v>
      </c>
      <c r="M369">
        <v>7</v>
      </c>
      <c r="N369">
        <v>2</v>
      </c>
      <c r="O369" t="s">
        <v>1068</v>
      </c>
      <c r="P369" t="s">
        <v>40</v>
      </c>
      <c r="Q369" t="s">
        <v>53</v>
      </c>
      <c r="R369" t="s">
        <v>836</v>
      </c>
      <c r="T369" t="s">
        <v>837</v>
      </c>
      <c r="U369" t="s">
        <v>226</v>
      </c>
      <c r="V369" t="s">
        <v>43</v>
      </c>
      <c r="W369" t="s">
        <v>43</v>
      </c>
      <c r="Y369" t="s">
        <v>43</v>
      </c>
      <c r="Z369" t="s">
        <v>45</v>
      </c>
      <c r="AA369" t="s">
        <v>333</v>
      </c>
      <c r="AB369" t="s">
        <v>43</v>
      </c>
      <c r="AC369" t="s">
        <v>43</v>
      </c>
      <c r="AD369" t="s">
        <v>43</v>
      </c>
      <c r="AE369" t="s">
        <v>43</v>
      </c>
      <c r="AF369" t="str">
        <f>AA369</f>
        <v>Burgwiesenstadion, Kanalweg, 97996 Niederstetten-Zentrum</v>
      </c>
      <c r="AG369" t="str">
        <f>TRIM(MID(AF369, FIND(", ", AF369)+2, FIND(", ", AF369, FIND(", ", AF369)+1) - FIND(", ", AF369) - 2))</f>
        <v>Kanalweg</v>
      </c>
      <c r="AH369" t="str">
        <f>_xlfn.TEXTBEFORE(_xlfn.TEXTAFTER(AF369, ", ", 2), " ")</f>
        <v>97996</v>
      </c>
      <c r="AI369" t="str">
        <f>_xlfn.TEXTAFTER(_xlfn.TEXTAFTER(AF369, ", ", 2), " ")</f>
        <v>Niederstetten-Zentrum</v>
      </c>
    </row>
    <row r="370" spans="1:35" x14ac:dyDescent="0.2">
      <c r="A370" t="str">
        <f>B370&amp;C370&amp;H370&amp;N370</f>
        <v>35001478TSV WeikersheimD-Junioren2</v>
      </c>
      <c r="B370" t="s">
        <v>325</v>
      </c>
      <c r="C370" t="s">
        <v>326</v>
      </c>
      <c r="D370" t="s">
        <v>204</v>
      </c>
      <c r="E370" t="s">
        <v>35</v>
      </c>
      <c r="F370" t="s">
        <v>50</v>
      </c>
      <c r="G370">
        <v>3</v>
      </c>
      <c r="H370" t="s">
        <v>833</v>
      </c>
      <c r="I370" t="s">
        <v>114</v>
      </c>
      <c r="J370" t="s">
        <v>965</v>
      </c>
      <c r="K370" t="s">
        <v>966</v>
      </c>
      <c r="L370" t="s">
        <v>1391</v>
      </c>
      <c r="M370">
        <v>2</v>
      </c>
      <c r="N370">
        <v>2</v>
      </c>
      <c r="O370" t="s">
        <v>1067</v>
      </c>
      <c r="P370" t="s">
        <v>40</v>
      </c>
      <c r="Q370" t="s">
        <v>53</v>
      </c>
      <c r="R370" t="s">
        <v>836</v>
      </c>
      <c r="T370" t="s">
        <v>837</v>
      </c>
      <c r="U370" t="s">
        <v>226</v>
      </c>
      <c r="V370" t="s">
        <v>43</v>
      </c>
      <c r="W370" t="s">
        <v>43</v>
      </c>
      <c r="Y370" t="s">
        <v>43</v>
      </c>
      <c r="Z370" t="s">
        <v>45</v>
      </c>
      <c r="AA370" t="s">
        <v>892</v>
      </c>
      <c r="AB370" t="s">
        <v>43</v>
      </c>
      <c r="AC370" t="s">
        <v>43</v>
      </c>
      <c r="AD370" t="s">
        <v>43</v>
      </c>
      <c r="AE370" t="s">
        <v>43</v>
      </c>
      <c r="AF370" t="str">
        <f>AA370</f>
        <v>Sportplatz 2 TSV Weikersheim, August-Laukhuff-Str., 97990 Weikersheim-Zentrum</v>
      </c>
      <c r="AG370" t="str">
        <f>TRIM(MID(AF370, FIND(", ", AF370)+2, FIND(", ", AF370, FIND(", ", AF370)+1) - FIND(", ", AF370) - 2))</f>
        <v>August-Laukhuff-Str.</v>
      </c>
      <c r="AH370" t="str">
        <f>_xlfn.TEXTBEFORE(_xlfn.TEXTAFTER(AF370, ", ", 2), " ")</f>
        <v>97990</v>
      </c>
      <c r="AI370" t="str">
        <f>_xlfn.TEXTAFTER(_xlfn.TEXTAFTER(AF370, ", ", 2), " ")</f>
        <v>Weikersheim-Zentrum</v>
      </c>
    </row>
    <row r="371" spans="1:35" x14ac:dyDescent="0.2">
      <c r="A371" t="str">
        <f>B371&amp;C371&amp;H371&amp;N371</f>
        <v>35000853SC Michelbach/WaldD-Junioren1</v>
      </c>
      <c r="B371" t="s">
        <v>160</v>
      </c>
      <c r="C371" t="s">
        <v>161</v>
      </c>
      <c r="D371" t="s">
        <v>66</v>
      </c>
      <c r="E371" t="s">
        <v>35</v>
      </c>
      <c r="F371" t="s">
        <v>50</v>
      </c>
      <c r="G371">
        <v>3</v>
      </c>
      <c r="H371" t="s">
        <v>833</v>
      </c>
      <c r="I371" t="s">
        <v>114</v>
      </c>
      <c r="J371" t="s">
        <v>965</v>
      </c>
      <c r="K371" t="s">
        <v>971</v>
      </c>
      <c r="L371" t="s">
        <v>1386</v>
      </c>
      <c r="M371">
        <v>1</v>
      </c>
      <c r="N371">
        <v>1</v>
      </c>
      <c r="O371" t="s">
        <v>1070</v>
      </c>
      <c r="P371" t="s">
        <v>40</v>
      </c>
      <c r="Q371" t="s">
        <v>40</v>
      </c>
      <c r="R371" t="s">
        <v>836</v>
      </c>
      <c r="T371" t="s">
        <v>1000</v>
      </c>
      <c r="U371" t="s">
        <v>226</v>
      </c>
      <c r="V371" t="s">
        <v>43</v>
      </c>
      <c r="W371" t="s">
        <v>43</v>
      </c>
      <c r="Y371" t="s">
        <v>1071</v>
      </c>
      <c r="Z371" t="s">
        <v>45</v>
      </c>
      <c r="AA371" t="s">
        <v>498</v>
      </c>
      <c r="AB371" t="s">
        <v>43</v>
      </c>
      <c r="AC371" t="s">
        <v>43</v>
      </c>
      <c r="AD371" t="s">
        <v>43</v>
      </c>
      <c r="AE371" t="s">
        <v>43</v>
      </c>
      <c r="AF371" t="str">
        <f>AA371</f>
        <v>Kunstrasenplatz SC Michelbach/Wald, Keltergasse, 74613 Öhringen-Michelbach</v>
      </c>
      <c r="AG371" t="str">
        <f>TRIM(MID(AF371, FIND(", ", AF371)+2, FIND(", ", AF371, FIND(", ", AF371)+1) - FIND(", ", AF371) - 2))</f>
        <v>Keltergasse</v>
      </c>
      <c r="AH371" t="str">
        <f>_xlfn.TEXTBEFORE(_xlfn.TEXTAFTER(AF371, ", ", 2), " ")</f>
        <v>74613</v>
      </c>
      <c r="AI371" t="str">
        <f>_xlfn.TEXTAFTER(_xlfn.TEXTAFTER(AF371, ", ", 2), " ")</f>
        <v>Öhringen-Michelbach</v>
      </c>
    </row>
    <row r="372" spans="1:35" x14ac:dyDescent="0.2">
      <c r="A372" t="str">
        <f>B372&amp;C372&amp;H372&amp;N372</f>
        <v>35001002TSG ÖhringenD-Junioren2</v>
      </c>
      <c r="B372" t="s">
        <v>64</v>
      </c>
      <c r="C372" t="s">
        <v>65</v>
      </c>
      <c r="D372" t="s">
        <v>66</v>
      </c>
      <c r="E372" t="s">
        <v>35</v>
      </c>
      <c r="F372" t="s">
        <v>50</v>
      </c>
      <c r="G372">
        <v>3</v>
      </c>
      <c r="H372" t="s">
        <v>833</v>
      </c>
      <c r="I372" t="s">
        <v>114</v>
      </c>
      <c r="J372" t="s">
        <v>965</v>
      </c>
      <c r="K372" t="s">
        <v>971</v>
      </c>
      <c r="L372" t="s">
        <v>1386</v>
      </c>
      <c r="M372">
        <v>3</v>
      </c>
      <c r="N372">
        <v>2</v>
      </c>
      <c r="O372" t="s">
        <v>1082</v>
      </c>
      <c r="P372" t="s">
        <v>40</v>
      </c>
      <c r="Q372" t="s">
        <v>40</v>
      </c>
      <c r="R372" t="s">
        <v>836</v>
      </c>
      <c r="T372" t="s">
        <v>837</v>
      </c>
      <c r="U372" t="s">
        <v>226</v>
      </c>
      <c r="V372" t="s">
        <v>43</v>
      </c>
      <c r="W372" t="s">
        <v>43</v>
      </c>
      <c r="Y372" t="s">
        <v>43</v>
      </c>
      <c r="Z372" t="s">
        <v>45</v>
      </c>
      <c r="AA372" t="s">
        <v>67</v>
      </c>
      <c r="AB372" t="s">
        <v>43</v>
      </c>
      <c r="AC372" t="s">
        <v>43</v>
      </c>
      <c r="AD372" t="s">
        <v>43</v>
      </c>
      <c r="AE372" t="s">
        <v>43</v>
      </c>
      <c r="AF372" t="str">
        <f>AA372</f>
        <v>Kunstrasenplatz TSG Öhringen, Pfaffenmühlweg 44, 74613 Öhringen-Zentrum</v>
      </c>
      <c r="AG372" t="str">
        <f>TRIM(MID(AF372, FIND(", ", AF372)+2, FIND(", ", AF372, FIND(", ", AF372)+1) - FIND(", ", AF372) - 2))</f>
        <v>Pfaffenmühlweg 44</v>
      </c>
      <c r="AH372" t="str">
        <f>_xlfn.TEXTBEFORE(_xlfn.TEXTAFTER(AF372, ", ", 2), " ")</f>
        <v>74613</v>
      </c>
      <c r="AI372" t="str">
        <f>_xlfn.TEXTAFTER(_xlfn.TEXTAFTER(AF372, ", ", 2), " ")</f>
        <v>Öhringen-Zentrum</v>
      </c>
    </row>
    <row r="373" spans="1:35" x14ac:dyDescent="0.2">
      <c r="A373" t="str">
        <f>B373&amp;C373&amp;H373&amp;N373</f>
        <v>35001044TSV PfedelbachD-Junioren2</v>
      </c>
      <c r="B373" t="s">
        <v>425</v>
      </c>
      <c r="C373" t="s">
        <v>426</v>
      </c>
      <c r="D373" t="s">
        <v>66</v>
      </c>
      <c r="E373" t="s">
        <v>35</v>
      </c>
      <c r="F373" t="s">
        <v>50</v>
      </c>
      <c r="G373">
        <v>3</v>
      </c>
      <c r="H373" t="s">
        <v>833</v>
      </c>
      <c r="I373" t="s">
        <v>114</v>
      </c>
      <c r="J373" t="s">
        <v>965</v>
      </c>
      <c r="K373" t="s">
        <v>971</v>
      </c>
      <c r="L373" t="s">
        <v>1386</v>
      </c>
      <c r="M373">
        <v>8</v>
      </c>
      <c r="N373">
        <v>2</v>
      </c>
      <c r="O373" t="s">
        <v>1077</v>
      </c>
      <c r="P373" t="s">
        <v>40</v>
      </c>
      <c r="Q373" t="s">
        <v>53</v>
      </c>
      <c r="R373" t="s">
        <v>836</v>
      </c>
      <c r="U373" t="s">
        <v>226</v>
      </c>
      <c r="V373" t="s">
        <v>43</v>
      </c>
      <c r="W373" t="s">
        <v>43</v>
      </c>
      <c r="Y373" t="s">
        <v>43</v>
      </c>
      <c r="Z373" t="s">
        <v>45</v>
      </c>
      <c r="AA373" t="s">
        <v>792</v>
      </c>
      <c r="AB373" t="s">
        <v>43</v>
      </c>
      <c r="AC373" t="s">
        <v>43</v>
      </c>
      <c r="AD373" t="s">
        <v>43</v>
      </c>
      <c r="AE373" t="s">
        <v>43</v>
      </c>
      <c r="AF373" t="str">
        <f>AA373</f>
        <v>Sportplatz 1 Untersteinbach, Freibadweg, 74629 Pfedelbach-Untersteinbach</v>
      </c>
      <c r="AG373" t="str">
        <f>TRIM(MID(AF373, FIND(", ", AF373)+2, FIND(", ", AF373, FIND(", ", AF373)+1) - FIND(", ", AF373) - 2))</f>
        <v>Freibadweg</v>
      </c>
      <c r="AH373" t="str">
        <f>_xlfn.TEXTBEFORE(_xlfn.TEXTAFTER(AF373, ", ", 2), " ")</f>
        <v>74629</v>
      </c>
      <c r="AI373" t="str">
        <f>_xlfn.TEXTAFTER(_xlfn.TEXTAFTER(AF373, ", ", 2), " ")</f>
        <v>Pfedelbach-Untersteinbach</v>
      </c>
    </row>
    <row r="374" spans="1:35" x14ac:dyDescent="0.2">
      <c r="A374" t="str">
        <f>B374&amp;C374&amp;H374&amp;N374</f>
        <v>35001434TSG VerrenbergD-Junioren1</v>
      </c>
      <c r="B374" t="s">
        <v>969</v>
      </c>
      <c r="C374" t="s">
        <v>970</v>
      </c>
      <c r="D374" t="s">
        <v>66</v>
      </c>
      <c r="E374" t="s">
        <v>35</v>
      </c>
      <c r="F374" t="s">
        <v>50</v>
      </c>
      <c r="G374">
        <v>3</v>
      </c>
      <c r="H374" t="s">
        <v>833</v>
      </c>
      <c r="I374" t="s">
        <v>844</v>
      </c>
      <c r="J374" t="s">
        <v>965</v>
      </c>
      <c r="K374" t="s">
        <v>971</v>
      </c>
      <c r="L374" t="s">
        <v>1386</v>
      </c>
      <c r="M374">
        <v>7</v>
      </c>
      <c r="N374">
        <v>1</v>
      </c>
      <c r="O374" t="s">
        <v>970</v>
      </c>
      <c r="P374" t="s">
        <v>40</v>
      </c>
      <c r="Q374" t="s">
        <v>53</v>
      </c>
      <c r="R374" t="s">
        <v>836</v>
      </c>
      <c r="T374" t="s">
        <v>837</v>
      </c>
      <c r="U374" t="s">
        <v>118</v>
      </c>
      <c r="V374" t="s">
        <v>43</v>
      </c>
      <c r="W374" t="s">
        <v>43</v>
      </c>
      <c r="Y374" t="s">
        <v>43</v>
      </c>
      <c r="Z374" t="s">
        <v>45</v>
      </c>
      <c r="AA374" t="s">
        <v>972</v>
      </c>
      <c r="AB374" t="s">
        <v>43</v>
      </c>
      <c r="AC374" t="s">
        <v>43</v>
      </c>
      <c r="AD374" t="s">
        <v>43</v>
      </c>
      <c r="AE374" t="s">
        <v>43</v>
      </c>
      <c r="AF374" t="str">
        <f>AA374</f>
        <v>Sportplatz 1 TSG Verrenberg, Reblandstr., 74613 Öhringen-Verrenberg</v>
      </c>
      <c r="AG374" t="str">
        <f>TRIM(MID(AF374, FIND(", ", AF374)+2, FIND(", ", AF374, FIND(", ", AF374)+1) - FIND(", ", AF374) - 2))</f>
        <v>Reblandstr.</v>
      </c>
      <c r="AH374" t="str">
        <f>_xlfn.TEXTBEFORE(_xlfn.TEXTAFTER(AF374, ", ", 2), " ")</f>
        <v>74613</v>
      </c>
      <c r="AI374" t="str">
        <f>_xlfn.TEXTAFTER(_xlfn.TEXTAFTER(AF374, ", ", 2), " ")</f>
        <v>Öhringen-Verrenberg</v>
      </c>
    </row>
    <row r="375" spans="1:35" x14ac:dyDescent="0.2">
      <c r="A375" t="str">
        <f>B375&amp;C375&amp;H375&amp;N375</f>
        <v>35001449TSV WaldbachD-Junioren2</v>
      </c>
      <c r="B375" t="s">
        <v>886</v>
      </c>
      <c r="C375" t="s">
        <v>887</v>
      </c>
      <c r="D375" t="s">
        <v>66</v>
      </c>
      <c r="E375" t="s">
        <v>35</v>
      </c>
      <c r="F375" t="s">
        <v>50</v>
      </c>
      <c r="G375">
        <v>3</v>
      </c>
      <c r="H375" t="s">
        <v>833</v>
      </c>
      <c r="I375" t="s">
        <v>114</v>
      </c>
      <c r="J375" t="s">
        <v>965</v>
      </c>
      <c r="K375" t="s">
        <v>971</v>
      </c>
      <c r="L375" t="s">
        <v>1386</v>
      </c>
      <c r="M375">
        <v>5</v>
      </c>
      <c r="N375">
        <v>2</v>
      </c>
      <c r="O375" t="s">
        <v>1078</v>
      </c>
      <c r="P375" t="s">
        <v>40</v>
      </c>
      <c r="Q375" t="s">
        <v>53</v>
      </c>
      <c r="R375" t="s">
        <v>836</v>
      </c>
      <c r="T375" t="s">
        <v>837</v>
      </c>
      <c r="U375" t="s">
        <v>226</v>
      </c>
      <c r="V375" t="s">
        <v>43</v>
      </c>
      <c r="W375" t="s">
        <v>43</v>
      </c>
      <c r="X375" t="s">
        <v>884</v>
      </c>
      <c r="Y375" s="4" t="s">
        <v>1079</v>
      </c>
      <c r="Z375" t="s">
        <v>45</v>
      </c>
      <c r="AA375" t="s">
        <v>890</v>
      </c>
      <c r="AB375" t="s">
        <v>43</v>
      </c>
      <c r="AC375" t="s">
        <v>43</v>
      </c>
      <c r="AD375" t="s">
        <v>43</v>
      </c>
      <c r="AE375" t="s">
        <v>43</v>
      </c>
      <c r="AF375" t="str">
        <f>AA375</f>
        <v>Sportplatz 1 Waldbach, Sportplatzweg, 74626 Bretzfeld-Waldbach</v>
      </c>
      <c r="AG375" t="str">
        <f>TRIM(MID(AF375, FIND(", ", AF375)+2, FIND(", ", AF375, FIND(", ", AF375)+1) - FIND(", ", AF375) - 2))</f>
        <v>Sportplatzweg</v>
      </c>
      <c r="AH375" t="str">
        <f>_xlfn.TEXTBEFORE(_xlfn.TEXTAFTER(AF375, ", ", 2), " ")</f>
        <v>74626</v>
      </c>
      <c r="AI375" t="str">
        <f>_xlfn.TEXTAFTER(_xlfn.TEXTAFTER(AF375, ", ", 2), " ")</f>
        <v>Bretzfeld-Waldbach</v>
      </c>
    </row>
    <row r="376" spans="1:35" x14ac:dyDescent="0.2">
      <c r="A376" t="str">
        <f>B376&amp;C376&amp;H376&amp;N376</f>
        <v>35000409TG ForchtenbergD-Junioren3</v>
      </c>
      <c r="B376" t="s">
        <v>838</v>
      </c>
      <c r="C376" t="s">
        <v>839</v>
      </c>
      <c r="D376" t="s">
        <v>49</v>
      </c>
      <c r="E376" t="s">
        <v>35</v>
      </c>
      <c r="F376" t="s">
        <v>50</v>
      </c>
      <c r="G376">
        <v>3</v>
      </c>
      <c r="H376" t="s">
        <v>833</v>
      </c>
      <c r="I376" t="s">
        <v>114</v>
      </c>
      <c r="J376" t="s">
        <v>965</v>
      </c>
      <c r="K376" t="s">
        <v>971</v>
      </c>
      <c r="L376" t="s">
        <v>1386</v>
      </c>
      <c r="M376">
        <v>4</v>
      </c>
      <c r="N376">
        <v>3</v>
      </c>
      <c r="O376" t="s">
        <v>1073</v>
      </c>
      <c r="P376" t="s">
        <v>40</v>
      </c>
      <c r="Q376" t="s">
        <v>53</v>
      </c>
      <c r="R376" t="s">
        <v>836</v>
      </c>
      <c r="T376" t="s">
        <v>974</v>
      </c>
      <c r="U376" t="s">
        <v>226</v>
      </c>
      <c r="V376" t="s">
        <v>43</v>
      </c>
      <c r="W376" t="s">
        <v>43</v>
      </c>
      <c r="Y376" t="s">
        <v>43</v>
      </c>
      <c r="Z376" t="s">
        <v>45</v>
      </c>
      <c r="AA376" t="s">
        <v>1074</v>
      </c>
      <c r="AB376" t="s">
        <v>43</v>
      </c>
      <c r="AC376" t="s">
        <v>43</v>
      </c>
      <c r="AD376" t="s">
        <v>43</v>
      </c>
      <c r="AE376" t="s">
        <v>43</v>
      </c>
      <c r="AF376" t="str">
        <f>AA376</f>
        <v>Sportplatz 1 Forchtenberg, Im Spitzen, 74670 Forchtenberg-Zentrum</v>
      </c>
      <c r="AG376" t="str">
        <f>TRIM(MID(AF376, FIND(", ", AF376)+2, FIND(", ", AF376, FIND(", ", AF376)+1) - FIND(", ", AF376) - 2))</f>
        <v>Im Spitzen</v>
      </c>
      <c r="AH376" t="str">
        <f>_xlfn.TEXTBEFORE(_xlfn.TEXTAFTER(AF376, ", ", 2), " ")</f>
        <v>74670</v>
      </c>
      <c r="AI376" t="str">
        <f>_xlfn.TEXTAFTER(_xlfn.TEXTAFTER(AF376, ", ", 2), " ")</f>
        <v>Forchtenberg-Zentrum</v>
      </c>
    </row>
    <row r="377" spans="1:35" x14ac:dyDescent="0.2">
      <c r="A377" t="str">
        <f>B377&amp;C377&amp;H377&amp;N377</f>
        <v>35000443SSV GaisbachD-Junioren2</v>
      </c>
      <c r="B377" t="s">
        <v>617</v>
      </c>
      <c r="C377" t="s">
        <v>618</v>
      </c>
      <c r="D377" t="s">
        <v>49</v>
      </c>
      <c r="E377" t="s">
        <v>35</v>
      </c>
      <c r="F377" t="s">
        <v>50</v>
      </c>
      <c r="G377">
        <v>3</v>
      </c>
      <c r="H377" t="s">
        <v>833</v>
      </c>
      <c r="I377" t="s">
        <v>114</v>
      </c>
      <c r="J377" t="s">
        <v>965</v>
      </c>
      <c r="K377" t="s">
        <v>971</v>
      </c>
      <c r="L377" t="s">
        <v>1386</v>
      </c>
      <c r="M377">
        <v>2</v>
      </c>
      <c r="N377">
        <v>2</v>
      </c>
      <c r="O377" t="s">
        <v>1072</v>
      </c>
      <c r="P377" t="s">
        <v>40</v>
      </c>
      <c r="Q377" t="s">
        <v>53</v>
      </c>
      <c r="R377" t="s">
        <v>836</v>
      </c>
      <c r="T377" t="s">
        <v>837</v>
      </c>
      <c r="U377" t="s">
        <v>226</v>
      </c>
      <c r="V377" t="s">
        <v>43</v>
      </c>
      <c r="W377" t="s">
        <v>43</v>
      </c>
      <c r="Y377" t="s">
        <v>43</v>
      </c>
      <c r="Z377" t="s">
        <v>45</v>
      </c>
      <c r="AA377" t="s">
        <v>195</v>
      </c>
      <c r="AB377" t="s">
        <v>43</v>
      </c>
      <c r="AC377" t="s">
        <v>43</v>
      </c>
      <c r="AD377" t="s">
        <v>43</v>
      </c>
      <c r="AE377" t="s">
        <v>43</v>
      </c>
      <c r="AF377" t="str">
        <f>AA377</f>
        <v>Sportplatz 2 TSV Kupferzell, Neue Str. 29, 74635 Kupferzell-Zentrum</v>
      </c>
      <c r="AG377" t="str">
        <f>TRIM(MID(AF377, FIND(", ", AF377)+2, FIND(", ", AF377, FIND(", ", AF377)+1) - FIND(", ", AF377) - 2))</f>
        <v>Neue Str. 29</v>
      </c>
      <c r="AH377" t="str">
        <f>_xlfn.TEXTBEFORE(_xlfn.TEXTAFTER(AF377, ", ", 2), " ")</f>
        <v>74635</v>
      </c>
      <c r="AI377" t="str">
        <f>_xlfn.TEXTAFTER(_xlfn.TEXTAFTER(AF377, ", ", 2), " ")</f>
        <v>Kupferzell-Zentrum</v>
      </c>
    </row>
    <row r="378" spans="1:35" x14ac:dyDescent="0.2">
      <c r="A378" t="str">
        <f>B378&amp;C378&amp;H378&amp;N378</f>
        <v>35002159FV KünzelsauD-Junioren1</v>
      </c>
      <c r="B378" t="s">
        <v>537</v>
      </c>
      <c r="C378" t="s">
        <v>538</v>
      </c>
      <c r="D378" t="s">
        <v>49</v>
      </c>
      <c r="E378" t="s">
        <v>35</v>
      </c>
      <c r="F378" t="s">
        <v>50</v>
      </c>
      <c r="G378">
        <v>3</v>
      </c>
      <c r="H378" t="s">
        <v>833</v>
      </c>
      <c r="I378" t="s">
        <v>844</v>
      </c>
      <c r="J378" t="s">
        <v>965</v>
      </c>
      <c r="K378" t="s">
        <v>971</v>
      </c>
      <c r="L378" t="s">
        <v>1386</v>
      </c>
      <c r="M378">
        <v>6</v>
      </c>
      <c r="N378">
        <v>1</v>
      </c>
      <c r="O378" t="s">
        <v>967</v>
      </c>
      <c r="P378" t="s">
        <v>40</v>
      </c>
      <c r="Q378" t="s">
        <v>53</v>
      </c>
      <c r="R378" t="s">
        <v>836</v>
      </c>
      <c r="T378" t="s">
        <v>837</v>
      </c>
      <c r="U378" t="s">
        <v>118</v>
      </c>
      <c r="V378" t="s">
        <v>43</v>
      </c>
      <c r="W378" t="s">
        <v>43</v>
      </c>
      <c r="Y378" t="s">
        <v>43</v>
      </c>
      <c r="Z378" t="s">
        <v>45</v>
      </c>
      <c r="AA378" t="s">
        <v>541</v>
      </c>
      <c r="AB378" t="s">
        <v>43</v>
      </c>
      <c r="AC378" t="s">
        <v>43</v>
      </c>
      <c r="AD378" t="s">
        <v>43</v>
      </c>
      <c r="AE378" t="s">
        <v>43</v>
      </c>
      <c r="AF378" t="str">
        <f>AA378</f>
        <v>Kunstrasenplatz FV Künzelsau, Hallstattweg 36, 74653 Künzelsau-Zentrum</v>
      </c>
      <c r="AG378" t="str">
        <f>TRIM(MID(AF378, FIND(", ", AF378)+2, FIND(", ", AF378, FIND(", ", AF378)+1) - FIND(", ", AF378) - 2))</f>
        <v>Hallstattweg 36</v>
      </c>
      <c r="AH378" t="str">
        <f>_xlfn.TEXTBEFORE(_xlfn.TEXTAFTER(AF378, ", ", 2), " ")</f>
        <v>74653</v>
      </c>
      <c r="AI378" t="str">
        <f>_xlfn.TEXTAFTER(_xlfn.TEXTAFTER(AF378, ", ", 2), " ")</f>
        <v>Künzelsau-Zentrum</v>
      </c>
    </row>
    <row r="379" spans="1:35" x14ac:dyDescent="0.2">
      <c r="A379" t="str">
        <f>B379&amp;C379&amp;H379&amp;N379</f>
        <v>35000853SC Michelbach/WaldD-Junioren2</v>
      </c>
      <c r="B379" t="s">
        <v>160</v>
      </c>
      <c r="C379" t="s">
        <v>161</v>
      </c>
      <c r="D379" t="s">
        <v>66</v>
      </c>
      <c r="E379" t="s">
        <v>35</v>
      </c>
      <c r="F379" t="s">
        <v>50</v>
      </c>
      <c r="G379">
        <v>3</v>
      </c>
      <c r="H379" t="s">
        <v>833</v>
      </c>
      <c r="I379" t="s">
        <v>114</v>
      </c>
      <c r="J379" t="s">
        <v>965</v>
      </c>
      <c r="K379" t="s">
        <v>1083</v>
      </c>
      <c r="L379" t="s">
        <v>1389</v>
      </c>
      <c r="M379">
        <v>2</v>
      </c>
      <c r="N379">
        <v>2</v>
      </c>
      <c r="O379" t="s">
        <v>1085</v>
      </c>
      <c r="P379" t="s">
        <v>40</v>
      </c>
      <c r="Q379" t="s">
        <v>53</v>
      </c>
      <c r="R379" t="s">
        <v>836</v>
      </c>
      <c r="T379" t="s">
        <v>1000</v>
      </c>
      <c r="U379" t="s">
        <v>226</v>
      </c>
      <c r="V379" t="s">
        <v>43</v>
      </c>
      <c r="W379" t="s">
        <v>43</v>
      </c>
      <c r="Y379" t="s">
        <v>1086</v>
      </c>
      <c r="Z379" t="s">
        <v>45</v>
      </c>
      <c r="AA379" t="s">
        <v>498</v>
      </c>
      <c r="AB379" t="s">
        <v>43</v>
      </c>
      <c r="AC379" t="s">
        <v>43</v>
      </c>
      <c r="AD379" t="s">
        <v>43</v>
      </c>
      <c r="AE379" t="s">
        <v>43</v>
      </c>
      <c r="AF379" t="str">
        <f>AA379</f>
        <v>Kunstrasenplatz SC Michelbach/Wald, Keltergasse, 74613 Öhringen-Michelbach</v>
      </c>
      <c r="AG379" t="str">
        <f>TRIM(MID(AF379, FIND(", ", AF379)+2, FIND(", ", AF379, FIND(", ", AF379)+1) - FIND(", ", AF379) - 2))</f>
        <v>Keltergasse</v>
      </c>
      <c r="AH379" t="str">
        <f>_xlfn.TEXTBEFORE(_xlfn.TEXTAFTER(AF379, ", ", 2), " ")</f>
        <v>74613</v>
      </c>
      <c r="AI379" t="str">
        <f>_xlfn.TEXTAFTER(_xlfn.TEXTAFTER(AF379, ", ", 2), " ")</f>
        <v>Öhringen-Michelbach</v>
      </c>
    </row>
    <row r="380" spans="1:35" x14ac:dyDescent="0.2">
      <c r="A380" t="str">
        <f>B380&amp;C380&amp;H380&amp;N380</f>
        <v>35001020TSV OhrnbergD-Junioren2</v>
      </c>
      <c r="B380" t="s">
        <v>549</v>
      </c>
      <c r="C380" t="s">
        <v>550</v>
      </c>
      <c r="D380" t="s">
        <v>66</v>
      </c>
      <c r="E380" t="s">
        <v>35</v>
      </c>
      <c r="F380" t="s">
        <v>50</v>
      </c>
      <c r="G380">
        <v>3</v>
      </c>
      <c r="H380" t="s">
        <v>833</v>
      </c>
      <c r="I380" t="s">
        <v>114</v>
      </c>
      <c r="J380" t="s">
        <v>965</v>
      </c>
      <c r="K380" t="s">
        <v>1083</v>
      </c>
      <c r="L380" t="s">
        <v>1389</v>
      </c>
      <c r="M380">
        <v>4</v>
      </c>
      <c r="N380">
        <v>2</v>
      </c>
      <c r="O380" t="s">
        <v>1075</v>
      </c>
      <c r="P380" t="s">
        <v>40</v>
      </c>
      <c r="Q380" t="s">
        <v>53</v>
      </c>
      <c r="R380" t="s">
        <v>836</v>
      </c>
      <c r="T380" t="s">
        <v>837</v>
      </c>
      <c r="U380" t="s">
        <v>226</v>
      </c>
      <c r="V380" t="s">
        <v>43</v>
      </c>
      <c r="W380" t="s">
        <v>43</v>
      </c>
      <c r="X380" t="s">
        <v>884</v>
      </c>
      <c r="Y380" s="4" t="s">
        <v>1076</v>
      </c>
      <c r="Z380" t="s">
        <v>45</v>
      </c>
      <c r="AA380" t="s">
        <v>552</v>
      </c>
      <c r="AB380" t="s">
        <v>43</v>
      </c>
      <c r="AC380" t="s">
        <v>43</v>
      </c>
      <c r="AD380" t="s">
        <v>43</v>
      </c>
      <c r="AE380" t="s">
        <v>43</v>
      </c>
      <c r="AF380" t="str">
        <f>AA380</f>
        <v>Kochertalstadion Ohrnberg, Seehäldenweg 12, 74613 Ohrnberg-Ohrnberg</v>
      </c>
      <c r="AG380" t="str">
        <f>TRIM(MID(AF380, FIND(", ", AF380)+2, FIND(", ", AF380, FIND(", ", AF380)+1) - FIND(", ", AF380) - 2))</f>
        <v>Seehäldenweg 12</v>
      </c>
      <c r="AH380" t="str">
        <f>_xlfn.TEXTBEFORE(_xlfn.TEXTAFTER(AF380, ", ", 2), " ")</f>
        <v>74613</v>
      </c>
      <c r="AI380" t="str">
        <f>_xlfn.TEXTAFTER(_xlfn.TEXTAFTER(AF380, ", ", 2), " ")</f>
        <v>Ohrnberg-Ohrnberg</v>
      </c>
    </row>
    <row r="381" spans="1:35" x14ac:dyDescent="0.2">
      <c r="A381" t="str">
        <f>B381&amp;C381&amp;H381&amp;N381</f>
        <v>35000150DJK-TSV BieringenD-Junioren2</v>
      </c>
      <c r="B381" t="s">
        <v>758</v>
      </c>
      <c r="C381" t="s">
        <v>759</v>
      </c>
      <c r="D381" t="s">
        <v>49</v>
      </c>
      <c r="E381" t="s">
        <v>35</v>
      </c>
      <c r="F381" t="s">
        <v>50</v>
      </c>
      <c r="G381">
        <v>3</v>
      </c>
      <c r="H381" t="s">
        <v>833</v>
      </c>
      <c r="I381" t="s">
        <v>114</v>
      </c>
      <c r="J381" t="s">
        <v>965</v>
      </c>
      <c r="K381" t="s">
        <v>1083</v>
      </c>
      <c r="L381" t="s">
        <v>1389</v>
      </c>
      <c r="M381">
        <v>8</v>
      </c>
      <c r="N381">
        <v>2</v>
      </c>
      <c r="O381" t="s">
        <v>1063</v>
      </c>
      <c r="P381" t="s">
        <v>40</v>
      </c>
      <c r="Q381" t="s">
        <v>53</v>
      </c>
      <c r="R381" t="s">
        <v>836</v>
      </c>
      <c r="T381" t="s">
        <v>837</v>
      </c>
      <c r="U381" t="s">
        <v>226</v>
      </c>
      <c r="V381" t="s">
        <v>43</v>
      </c>
      <c r="W381" t="s">
        <v>43</v>
      </c>
      <c r="Y381" t="s">
        <v>43</v>
      </c>
      <c r="Z381" t="s">
        <v>45</v>
      </c>
      <c r="AA381" t="s">
        <v>761</v>
      </c>
      <c r="AB381" t="s">
        <v>43</v>
      </c>
      <c r="AC381" t="s">
        <v>43</v>
      </c>
      <c r="AD381" t="s">
        <v>43</v>
      </c>
      <c r="AE381" t="s">
        <v>43</v>
      </c>
      <c r="AF381" t="str">
        <f>AA381</f>
        <v>Sportplatz 1, DJK Bieringen, Max-Eyth-Str., 74214 Schöntal-Bieringen</v>
      </c>
      <c r="AG381" t="str">
        <f>_xlfn.TEXTBEFORE(_xlfn.TEXTAFTER(AF381, ", ", 2), ",")</f>
        <v>Max-Eyth-Str.</v>
      </c>
      <c r="AH381" t="str">
        <f>_xlfn.TEXTBEFORE(_xlfn.TEXTAFTER(AF381, ", ", 3), " ")</f>
        <v>74214</v>
      </c>
      <c r="AI381" t="str">
        <f>_xlfn.TEXTAFTER(_xlfn.TEXTAFTER(AF381, ", ", 3), " ")</f>
        <v>Schöntal-Bieringen</v>
      </c>
    </row>
    <row r="382" spans="1:35" x14ac:dyDescent="0.2">
      <c r="A382" t="str">
        <f>B382&amp;C382&amp;H382&amp;N382</f>
        <v>35000409TG ForchtenbergD-Junioren4</v>
      </c>
      <c r="B382" t="s">
        <v>838</v>
      </c>
      <c r="C382" t="s">
        <v>839</v>
      </c>
      <c r="D382" t="s">
        <v>49</v>
      </c>
      <c r="E382" t="s">
        <v>35</v>
      </c>
      <c r="F382" t="s">
        <v>50</v>
      </c>
      <c r="G382">
        <v>3</v>
      </c>
      <c r="H382" t="s">
        <v>833</v>
      </c>
      <c r="I382" t="s">
        <v>114</v>
      </c>
      <c r="J382" t="s">
        <v>965</v>
      </c>
      <c r="K382" t="s">
        <v>1083</v>
      </c>
      <c r="L382" t="s">
        <v>1389</v>
      </c>
      <c r="M382">
        <v>3</v>
      </c>
      <c r="N382">
        <v>4</v>
      </c>
      <c r="O382" t="s">
        <v>1089</v>
      </c>
      <c r="P382" t="s">
        <v>40</v>
      </c>
      <c r="Q382" t="s">
        <v>53</v>
      </c>
      <c r="R382" t="s">
        <v>836</v>
      </c>
      <c r="T382" t="s">
        <v>974</v>
      </c>
      <c r="U382" t="s">
        <v>226</v>
      </c>
      <c r="V382" t="s">
        <v>43</v>
      </c>
      <c r="W382" t="s">
        <v>43</v>
      </c>
      <c r="Y382" t="s">
        <v>43</v>
      </c>
      <c r="Z382" t="s">
        <v>45</v>
      </c>
      <c r="AA382" t="s">
        <v>535</v>
      </c>
      <c r="AB382" t="s">
        <v>1090</v>
      </c>
      <c r="AC382" t="s">
        <v>1074</v>
      </c>
      <c r="AD382" t="s">
        <v>43</v>
      </c>
      <c r="AE382" t="s">
        <v>43</v>
      </c>
      <c r="AF382" t="str">
        <f>AC382</f>
        <v>Sportplatz 1 Forchtenberg, Im Spitzen, 74670 Forchtenberg-Zentrum</v>
      </c>
      <c r="AG382" t="str">
        <f>TRIM(MID(AF382, FIND(", ", AF382)+2, FIND(", ", AF382, FIND(", ", AF382)+1) - FIND(", ", AF382) - 2))</f>
        <v>Im Spitzen</v>
      </c>
      <c r="AH382" t="str">
        <f>_xlfn.TEXTBEFORE(_xlfn.TEXTAFTER(AF382, ", ", 2), " ")</f>
        <v>74670</v>
      </c>
      <c r="AI382" t="str">
        <f>_xlfn.TEXTAFTER(_xlfn.TEXTAFTER(AF382, ", ", 2), " ")</f>
        <v>Forchtenberg-Zentrum</v>
      </c>
    </row>
    <row r="383" spans="1:35" x14ac:dyDescent="0.2">
      <c r="A383" t="str">
        <f>B383&amp;C383&amp;H383&amp;N383</f>
        <v>35001712TSV KrautheimD-Junioren3</v>
      </c>
      <c r="B383" t="s">
        <v>872</v>
      </c>
      <c r="C383" t="s">
        <v>873</v>
      </c>
      <c r="D383" t="s">
        <v>49</v>
      </c>
      <c r="E383" t="s">
        <v>35</v>
      </c>
      <c r="F383" t="s">
        <v>50</v>
      </c>
      <c r="G383">
        <v>3</v>
      </c>
      <c r="H383" t="s">
        <v>833</v>
      </c>
      <c r="I383" t="s">
        <v>114</v>
      </c>
      <c r="J383" t="s">
        <v>965</v>
      </c>
      <c r="K383" t="s">
        <v>1083</v>
      </c>
      <c r="L383" t="s">
        <v>1389</v>
      </c>
      <c r="M383">
        <v>6</v>
      </c>
      <c r="N383">
        <v>3</v>
      </c>
      <c r="O383" t="s">
        <v>1087</v>
      </c>
      <c r="P383" t="s">
        <v>40</v>
      </c>
      <c r="Q383" t="s">
        <v>53</v>
      </c>
      <c r="R383" t="s">
        <v>836</v>
      </c>
      <c r="T383" t="s">
        <v>1000</v>
      </c>
      <c r="U383" t="s">
        <v>226</v>
      </c>
      <c r="V383" t="s">
        <v>43</v>
      </c>
      <c r="W383" t="s">
        <v>43</v>
      </c>
      <c r="Y383" t="s">
        <v>43</v>
      </c>
      <c r="Z383" t="s">
        <v>45</v>
      </c>
      <c r="AA383" t="s">
        <v>1066</v>
      </c>
      <c r="AB383" t="s">
        <v>1088</v>
      </c>
      <c r="AC383" t="s">
        <v>877</v>
      </c>
      <c r="AD383" t="s">
        <v>43</v>
      </c>
      <c r="AE383" t="s">
        <v>43</v>
      </c>
      <c r="AF383" t="str">
        <f>AC383</f>
        <v>TSV Krautheim, Schulstr. 11, 74238 Krautheim-Zentrum</v>
      </c>
      <c r="AG383" t="str">
        <f>TRIM(MID(AF383, FIND(", ", AF383)+2, FIND(", ", AF383, FIND(", ", AF383)+1) - FIND(", ", AF383) - 2))</f>
        <v>Schulstr. 11</v>
      </c>
      <c r="AH383" t="str">
        <f>_xlfn.TEXTBEFORE(_xlfn.TEXTAFTER(AF383, ", ", 2), " ")</f>
        <v>74238</v>
      </c>
      <c r="AI383" t="str">
        <f>_xlfn.TEXTAFTER(_xlfn.TEXTAFTER(AF383, ", ", 2), " ")</f>
        <v>Krautheim-Zentrum</v>
      </c>
    </row>
    <row r="384" spans="1:35" x14ac:dyDescent="0.2">
      <c r="A384" t="str">
        <f>B384&amp;C384&amp;H384&amp;N384</f>
        <v>35002159FV KünzelsauD-Junioren2</v>
      </c>
      <c r="B384" t="s">
        <v>537</v>
      </c>
      <c r="C384" t="s">
        <v>538</v>
      </c>
      <c r="D384" t="s">
        <v>49</v>
      </c>
      <c r="E384" t="s">
        <v>35</v>
      </c>
      <c r="F384" t="s">
        <v>50</v>
      </c>
      <c r="G384">
        <v>3</v>
      </c>
      <c r="H384" t="s">
        <v>833</v>
      </c>
      <c r="I384" t="s">
        <v>114</v>
      </c>
      <c r="J384" t="s">
        <v>965</v>
      </c>
      <c r="K384" t="s">
        <v>1083</v>
      </c>
      <c r="L384" t="s">
        <v>1389</v>
      </c>
      <c r="M384">
        <v>5</v>
      </c>
      <c r="N384">
        <v>2</v>
      </c>
      <c r="O384" t="s">
        <v>1084</v>
      </c>
      <c r="P384" t="s">
        <v>40</v>
      </c>
      <c r="Q384" t="s">
        <v>53</v>
      </c>
      <c r="R384" t="s">
        <v>836</v>
      </c>
      <c r="T384" t="s">
        <v>974</v>
      </c>
      <c r="U384" t="s">
        <v>226</v>
      </c>
      <c r="V384" t="s">
        <v>43</v>
      </c>
      <c r="W384" t="s">
        <v>43</v>
      </c>
      <c r="Y384" t="s">
        <v>43</v>
      </c>
      <c r="Z384" t="s">
        <v>45</v>
      </c>
      <c r="AA384" t="s">
        <v>541</v>
      </c>
      <c r="AB384" t="s">
        <v>43</v>
      </c>
      <c r="AC384" t="s">
        <v>43</v>
      </c>
      <c r="AD384" t="s">
        <v>43</v>
      </c>
      <c r="AE384" t="s">
        <v>43</v>
      </c>
      <c r="AF384" t="str">
        <f>AA384</f>
        <v>Kunstrasenplatz FV Künzelsau, Hallstattweg 36, 74653 Künzelsau-Zentrum</v>
      </c>
      <c r="AG384" t="str">
        <f>TRIM(MID(AF384, FIND(", ", AF384)+2, FIND(", ", AF384, FIND(", ", AF384)+1) - FIND(", ", AF384) - 2))</f>
        <v>Hallstattweg 36</v>
      </c>
      <c r="AH384" t="str">
        <f>_xlfn.TEXTBEFORE(_xlfn.TEXTAFTER(AF384, ", ", 2), " ")</f>
        <v>74653</v>
      </c>
      <c r="AI384" t="str">
        <f>_xlfn.TEXTAFTER(_xlfn.TEXTAFTER(AF384, ", ", 2), " ")</f>
        <v>Künzelsau-Zentrum</v>
      </c>
    </row>
    <row r="385" spans="1:35" x14ac:dyDescent="0.2">
      <c r="A385" t="str">
        <f>B385&amp;C385&amp;H385&amp;N385</f>
        <v>35000565ASV HeilbronnD-Junioren2</v>
      </c>
      <c r="B385" t="s">
        <v>895</v>
      </c>
      <c r="C385" t="s">
        <v>896</v>
      </c>
      <c r="D385" t="s">
        <v>34</v>
      </c>
      <c r="E385" t="s">
        <v>35</v>
      </c>
      <c r="F385" t="s">
        <v>36</v>
      </c>
      <c r="G385">
        <v>3</v>
      </c>
      <c r="H385" t="s">
        <v>833</v>
      </c>
      <c r="I385" t="s">
        <v>114</v>
      </c>
      <c r="J385" t="s">
        <v>1091</v>
      </c>
      <c r="K385" t="s">
        <v>1092</v>
      </c>
      <c r="L385" t="s">
        <v>1390</v>
      </c>
      <c r="M385">
        <v>1</v>
      </c>
      <c r="N385">
        <v>2</v>
      </c>
      <c r="O385" t="s">
        <v>1021</v>
      </c>
      <c r="P385" t="s">
        <v>40</v>
      </c>
      <c r="Q385" t="s">
        <v>53</v>
      </c>
      <c r="R385" s="8" t="s">
        <v>1094</v>
      </c>
      <c r="T385" t="s">
        <v>837</v>
      </c>
      <c r="U385" s="2" t="s">
        <v>226</v>
      </c>
      <c r="V385" t="s">
        <v>43</v>
      </c>
      <c r="W385" t="s">
        <v>43</v>
      </c>
      <c r="X385" t="s">
        <v>1022</v>
      </c>
      <c r="Y385" s="4" t="s">
        <v>1023</v>
      </c>
      <c r="Z385" t="s">
        <v>45</v>
      </c>
      <c r="AA385" t="s">
        <v>902</v>
      </c>
      <c r="AB385" t="s">
        <v>43</v>
      </c>
      <c r="AC385" t="s">
        <v>43</v>
      </c>
      <c r="AD385" t="s">
        <v>43</v>
      </c>
      <c r="AE385" t="s">
        <v>43</v>
      </c>
      <c r="AF385" t="str">
        <f>AA385</f>
        <v>Wertwiesen (ASV) Rasen, Wertwiesen 6, 74081 Heilbronn-Sontheim</v>
      </c>
      <c r="AG385" t="str">
        <f>TRIM(MID(AF385, FIND(", ", AF385)+2, FIND(", ", AF385, FIND(", ", AF385)+1) - FIND(", ", AF385) - 2))</f>
        <v>Wertwiesen 6</v>
      </c>
      <c r="AH385" t="str">
        <f>_xlfn.TEXTBEFORE(_xlfn.TEXTAFTER(AF385, ", ", 2), " ")</f>
        <v>74081</v>
      </c>
      <c r="AI385" t="str">
        <f>_xlfn.TEXTAFTER(_xlfn.TEXTAFTER(AF385, ", ", 2), " ")</f>
        <v>Heilbronn-Sontheim</v>
      </c>
    </row>
    <row r="386" spans="1:35" x14ac:dyDescent="0.2">
      <c r="A386" t="str">
        <f>B386&amp;C386&amp;H386&amp;N386</f>
        <v>35000777SV LeingartenD-Junioren3</v>
      </c>
      <c r="B386" t="s">
        <v>158</v>
      </c>
      <c r="C386" t="s">
        <v>159</v>
      </c>
      <c r="D386" t="s">
        <v>34</v>
      </c>
      <c r="E386" t="s">
        <v>35</v>
      </c>
      <c r="F386" t="s">
        <v>36</v>
      </c>
      <c r="G386">
        <v>3</v>
      </c>
      <c r="H386" t="s">
        <v>833</v>
      </c>
      <c r="I386" t="s">
        <v>114</v>
      </c>
      <c r="J386" t="s">
        <v>1091</v>
      </c>
      <c r="K386" t="s">
        <v>1092</v>
      </c>
      <c r="L386" t="s">
        <v>1390</v>
      </c>
      <c r="M386">
        <v>5</v>
      </c>
      <c r="N386">
        <v>3</v>
      </c>
      <c r="O386" t="s">
        <v>1105</v>
      </c>
      <c r="P386" t="s">
        <v>40</v>
      </c>
      <c r="Q386" t="s">
        <v>40</v>
      </c>
      <c r="R386" t="s">
        <v>1094</v>
      </c>
      <c r="T386" t="s">
        <v>1000</v>
      </c>
      <c r="U386" t="s">
        <v>226</v>
      </c>
      <c r="V386" t="s">
        <v>43</v>
      </c>
      <c r="W386" t="s">
        <v>43</v>
      </c>
      <c r="Y386" t="s">
        <v>1106</v>
      </c>
      <c r="Z386" t="s">
        <v>45</v>
      </c>
      <c r="AA386" t="s">
        <v>63</v>
      </c>
      <c r="AB386" t="s">
        <v>43</v>
      </c>
      <c r="AC386" t="s">
        <v>43</v>
      </c>
      <c r="AD386" t="s">
        <v>43</v>
      </c>
      <c r="AE386" t="s">
        <v>43</v>
      </c>
      <c r="AF386" t="str">
        <f>AA386</f>
        <v>Leingarten Kunstrasen, Egarten, 74211 Leingarten-Großgartach</v>
      </c>
      <c r="AG386" t="str">
        <f>TRIM(MID(AF386, FIND(", ", AF386)+2, FIND(", ", AF386, FIND(", ", AF386)+1) - FIND(", ", AF386) - 2))</f>
        <v>Egarten</v>
      </c>
      <c r="AH386" t="str">
        <f>_xlfn.TEXTBEFORE(_xlfn.TEXTAFTER(AF386, ", ", 2), " ")</f>
        <v>74211</v>
      </c>
      <c r="AI386" t="str">
        <f>_xlfn.TEXTAFTER(_xlfn.TEXTAFTER(AF386, ", ", 2), " ")</f>
        <v>Leingarten-Großgartach</v>
      </c>
    </row>
    <row r="387" spans="1:35" x14ac:dyDescent="0.2">
      <c r="A387" t="str">
        <f>B387&amp;C387&amp;H387&amp;N387</f>
        <v>35002135SC Oberes ZabergäuD-Junioren1</v>
      </c>
      <c r="B387" t="s">
        <v>257</v>
      </c>
      <c r="C387" t="s">
        <v>258</v>
      </c>
      <c r="D387" t="s">
        <v>34</v>
      </c>
      <c r="E387" t="s">
        <v>35</v>
      </c>
      <c r="F387" t="s">
        <v>36</v>
      </c>
      <c r="G387">
        <v>3</v>
      </c>
      <c r="H387" t="s">
        <v>833</v>
      </c>
      <c r="I387" t="s">
        <v>114</v>
      </c>
      <c r="J387" t="s">
        <v>1091</v>
      </c>
      <c r="K387" t="s">
        <v>1092</v>
      </c>
      <c r="L387" t="s">
        <v>1390</v>
      </c>
      <c r="M387">
        <v>3</v>
      </c>
      <c r="N387">
        <v>1</v>
      </c>
      <c r="O387" t="s">
        <v>1097</v>
      </c>
      <c r="P387" t="s">
        <v>40</v>
      </c>
      <c r="Q387" t="s">
        <v>53</v>
      </c>
      <c r="R387" t="s">
        <v>1094</v>
      </c>
      <c r="T387" t="s">
        <v>837</v>
      </c>
      <c r="U387" t="s">
        <v>226</v>
      </c>
      <c r="V387" t="s">
        <v>43</v>
      </c>
      <c r="W387" t="s">
        <v>43</v>
      </c>
      <c r="Y387" t="s">
        <v>1098</v>
      </c>
      <c r="Z387" t="s">
        <v>45</v>
      </c>
      <c r="AA387" t="s">
        <v>263</v>
      </c>
      <c r="AB387" t="s">
        <v>262</v>
      </c>
      <c r="AC387" t="s">
        <v>261</v>
      </c>
      <c r="AD387" t="s">
        <v>43</v>
      </c>
      <c r="AE387" t="s">
        <v>43</v>
      </c>
      <c r="AF387" t="str">
        <f>AC387</f>
        <v>Zaberfeld Rasen 1, Weilerer Str., 74374 Zaberfeld-Zentrum</v>
      </c>
      <c r="AG387" t="str">
        <f>TRIM(MID(AF387, FIND(", ", AF387)+2, FIND(", ", AF387, FIND(", ", AF387)+1) - FIND(", ", AF387) - 2))</f>
        <v>Weilerer Str.</v>
      </c>
      <c r="AH387" t="str">
        <f>_xlfn.TEXTBEFORE(_xlfn.TEXTAFTER(AF387, ", ", 2), " ")</f>
        <v>74374</v>
      </c>
      <c r="AI387" t="str">
        <f>_xlfn.TEXTAFTER(_xlfn.TEXTAFTER(AF387, ", ", 2), " ")</f>
        <v>Zaberfeld-Zentrum</v>
      </c>
    </row>
    <row r="388" spans="1:35" x14ac:dyDescent="0.2">
      <c r="A388" t="str">
        <f>B388&amp;C388&amp;H388&amp;N388</f>
        <v>35000210TSV BrettachD-Junioren2</v>
      </c>
      <c r="B388" t="s">
        <v>542</v>
      </c>
      <c r="C388" t="s">
        <v>543</v>
      </c>
      <c r="D388" t="s">
        <v>77</v>
      </c>
      <c r="E388" t="s">
        <v>35</v>
      </c>
      <c r="F388" t="s">
        <v>36</v>
      </c>
      <c r="G388">
        <v>3</v>
      </c>
      <c r="H388" t="s">
        <v>833</v>
      </c>
      <c r="I388" t="s">
        <v>114</v>
      </c>
      <c r="J388" t="s">
        <v>1091</v>
      </c>
      <c r="K388" t="s">
        <v>1092</v>
      </c>
      <c r="L388" t="s">
        <v>1390</v>
      </c>
      <c r="M388">
        <v>2</v>
      </c>
      <c r="N388">
        <v>2</v>
      </c>
      <c r="O388" t="s">
        <v>1103</v>
      </c>
      <c r="P388" t="s">
        <v>40</v>
      </c>
      <c r="Q388" t="s">
        <v>53</v>
      </c>
      <c r="R388" t="s">
        <v>1094</v>
      </c>
      <c r="T388" t="s">
        <v>1000</v>
      </c>
      <c r="U388" t="s">
        <v>226</v>
      </c>
      <c r="V388" t="s">
        <v>43</v>
      </c>
      <c r="W388" t="s">
        <v>43</v>
      </c>
      <c r="Y388" t="s">
        <v>1104</v>
      </c>
      <c r="Z388" t="s">
        <v>45</v>
      </c>
      <c r="AA388" t="s">
        <v>546</v>
      </c>
      <c r="AB388" t="s">
        <v>43</v>
      </c>
      <c r="AC388" t="s">
        <v>43</v>
      </c>
      <c r="AD388" t="s">
        <v>43</v>
      </c>
      <c r="AE388" t="s">
        <v>43</v>
      </c>
      <c r="AF388" t="str">
        <f>AA388</f>
        <v>Brettach Rasen 1, Cleversulzbacher Str., 74243 Langenbrettach-Brettach</v>
      </c>
      <c r="AG388" t="str">
        <f>TRIM(MID(AF388, FIND(", ", AF388)+2, FIND(", ", AF388, FIND(", ", AF388)+1) - FIND(", ", AF388) - 2))</f>
        <v>Cleversulzbacher Str.</v>
      </c>
      <c r="AH388" t="str">
        <f>_xlfn.TEXTBEFORE(_xlfn.TEXTAFTER(AF388, ", ", 2), " ")</f>
        <v>74243</v>
      </c>
      <c r="AI388" t="str">
        <f>_xlfn.TEXTAFTER(_xlfn.TEXTAFTER(AF388, ", ", 2), " ")</f>
        <v>Langenbrettach-Brettach</v>
      </c>
    </row>
    <row r="389" spans="1:35" x14ac:dyDescent="0.2">
      <c r="A389" t="str">
        <f>B389&amp;C389&amp;H389&amp;N389</f>
        <v>35000578TSV HeinsheimD-Junioren1</v>
      </c>
      <c r="B389" t="s">
        <v>685</v>
      </c>
      <c r="C389" t="s">
        <v>686</v>
      </c>
      <c r="D389" t="s">
        <v>77</v>
      </c>
      <c r="E389" t="s">
        <v>35</v>
      </c>
      <c r="F389" t="s">
        <v>36</v>
      </c>
      <c r="G389">
        <v>3</v>
      </c>
      <c r="H389" t="s">
        <v>833</v>
      </c>
      <c r="I389" t="s">
        <v>114</v>
      </c>
      <c r="J389" t="s">
        <v>1091</v>
      </c>
      <c r="K389" t="s">
        <v>1092</v>
      </c>
      <c r="L389" t="s">
        <v>1390</v>
      </c>
      <c r="M389">
        <v>7</v>
      </c>
      <c r="N389">
        <v>1</v>
      </c>
      <c r="O389" t="s">
        <v>1107</v>
      </c>
      <c r="P389" t="s">
        <v>40</v>
      </c>
      <c r="Q389" t="s">
        <v>53</v>
      </c>
      <c r="R389" t="s">
        <v>1094</v>
      </c>
      <c r="T389" t="s">
        <v>837</v>
      </c>
      <c r="U389" t="s">
        <v>118</v>
      </c>
      <c r="V389" t="s">
        <v>43</v>
      </c>
      <c r="W389" t="s">
        <v>43</v>
      </c>
      <c r="Y389" t="s">
        <v>43</v>
      </c>
      <c r="Z389" t="s">
        <v>45</v>
      </c>
      <c r="AA389" t="s">
        <v>688</v>
      </c>
      <c r="AB389" t="s">
        <v>43</v>
      </c>
      <c r="AC389" t="s">
        <v>43</v>
      </c>
      <c r="AD389" t="s">
        <v>43</v>
      </c>
      <c r="AE389" t="s">
        <v>43</v>
      </c>
      <c r="AF389" t="str">
        <f>AA389</f>
        <v>Heinsheim Rasen, Neckarstr. 1, 74906 Bad Rappenau-Heinsheim</v>
      </c>
      <c r="AG389" t="str">
        <f>TRIM(MID(AF389, FIND(", ", AF389)+2, FIND(", ", AF389, FIND(", ", AF389)+1) - FIND(", ", AF389) - 2))</f>
        <v>Neckarstr. 1</v>
      </c>
      <c r="AH389" t="str">
        <f>_xlfn.TEXTBEFORE(_xlfn.TEXTAFTER(AF389, ", ", 2), " ")</f>
        <v>74906</v>
      </c>
      <c r="AI389" t="str">
        <f>_xlfn.TEXTAFTER(_xlfn.TEXTAFTER(AF389, ", ", 2), " ")</f>
        <v>Bad Rappenau-Heinsheim</v>
      </c>
    </row>
    <row r="390" spans="1:35" x14ac:dyDescent="0.2">
      <c r="A390" t="str">
        <f>B390&amp;C390&amp;H390&amp;N390</f>
        <v>35001512Spfr WiddernD-Junioren1</v>
      </c>
      <c r="B390" t="s">
        <v>1099</v>
      </c>
      <c r="C390" t="s">
        <v>1100</v>
      </c>
      <c r="D390" t="s">
        <v>77</v>
      </c>
      <c r="E390" t="s">
        <v>35</v>
      </c>
      <c r="F390" t="s">
        <v>36</v>
      </c>
      <c r="G390">
        <v>3</v>
      </c>
      <c r="H390" t="s">
        <v>833</v>
      </c>
      <c r="I390" t="s">
        <v>114</v>
      </c>
      <c r="J390" t="s">
        <v>1091</v>
      </c>
      <c r="K390" t="s">
        <v>1092</v>
      </c>
      <c r="L390" t="s">
        <v>1390</v>
      </c>
      <c r="M390">
        <v>8</v>
      </c>
      <c r="N390">
        <v>1</v>
      </c>
      <c r="O390" t="s">
        <v>1101</v>
      </c>
      <c r="P390" t="s">
        <v>40</v>
      </c>
      <c r="Q390" t="s">
        <v>40</v>
      </c>
      <c r="R390" t="s">
        <v>1094</v>
      </c>
      <c r="T390" t="s">
        <v>974</v>
      </c>
      <c r="U390" t="s">
        <v>118</v>
      </c>
      <c r="V390" t="s">
        <v>43</v>
      </c>
      <c r="W390" t="s">
        <v>43</v>
      </c>
      <c r="Y390" t="s">
        <v>43</v>
      </c>
      <c r="Z390" t="s">
        <v>45</v>
      </c>
      <c r="AA390" t="s">
        <v>1102</v>
      </c>
      <c r="AB390" t="s">
        <v>43</v>
      </c>
      <c r="AC390" t="s">
        <v>43</v>
      </c>
      <c r="AD390" t="s">
        <v>43</v>
      </c>
      <c r="AE390" t="s">
        <v>43</v>
      </c>
      <c r="AF390" t="str">
        <f>AA390</f>
        <v>Widdern Rasen 1, Heilbronner Str., 74259 Widdern-Zentrum</v>
      </c>
      <c r="AG390" t="str">
        <f>TRIM(MID(AF390, FIND(", ", AF390)+2, FIND(", ", AF390, FIND(", ", AF390)+1) - FIND(", ", AF390) - 2))</f>
        <v>Heilbronner Str.</v>
      </c>
      <c r="AH390" t="str">
        <f>_xlfn.TEXTBEFORE(_xlfn.TEXTAFTER(AF390, ", ", 2), " ")</f>
        <v>74259</v>
      </c>
      <c r="AI390" t="str">
        <f>_xlfn.TEXTAFTER(_xlfn.TEXTAFTER(AF390, ", ", 2), " ")</f>
        <v>Widdern-Zentrum</v>
      </c>
    </row>
    <row r="391" spans="1:35" x14ac:dyDescent="0.2">
      <c r="A391" t="str">
        <f>B391&amp;C391&amp;H391&amp;N391</f>
        <v>35001521SG Bad WimpfenD-Junioren3</v>
      </c>
      <c r="B391" t="s">
        <v>120</v>
      </c>
      <c r="C391" t="s">
        <v>121</v>
      </c>
      <c r="D391" t="s">
        <v>77</v>
      </c>
      <c r="E391" t="s">
        <v>35</v>
      </c>
      <c r="F391" t="s">
        <v>36</v>
      </c>
      <c r="G391">
        <v>3</v>
      </c>
      <c r="H391" t="s">
        <v>833</v>
      </c>
      <c r="I391" t="s">
        <v>114</v>
      </c>
      <c r="J391" t="s">
        <v>1091</v>
      </c>
      <c r="K391" t="s">
        <v>1092</v>
      </c>
      <c r="L391" t="s">
        <v>1390</v>
      </c>
      <c r="M391">
        <v>6</v>
      </c>
      <c r="N391">
        <v>3</v>
      </c>
      <c r="O391" t="s">
        <v>1093</v>
      </c>
      <c r="P391" t="s">
        <v>40</v>
      </c>
      <c r="Q391" t="s">
        <v>53</v>
      </c>
      <c r="R391" t="s">
        <v>1094</v>
      </c>
      <c r="T391" t="s">
        <v>837</v>
      </c>
      <c r="U391" s="2" t="s">
        <v>226</v>
      </c>
      <c r="V391" t="s">
        <v>43</v>
      </c>
      <c r="W391" t="s">
        <v>43</v>
      </c>
      <c r="X391" t="s">
        <v>1095</v>
      </c>
      <c r="Y391" s="4" t="s">
        <v>1096</v>
      </c>
      <c r="Z391" t="s">
        <v>45</v>
      </c>
      <c r="AA391" t="s">
        <v>122</v>
      </c>
      <c r="AB391" t="s">
        <v>43</v>
      </c>
      <c r="AC391" t="s">
        <v>43</v>
      </c>
      <c r="AD391" t="s">
        <v>43</v>
      </c>
      <c r="AE391" t="s">
        <v>43</v>
      </c>
      <c r="AF391" t="str">
        <f>AA391</f>
        <v>Bad Wimpfen Kunstrasen, Erich-Sailer-Str. 59, 74206 Bad Wimpfen-Zentrum</v>
      </c>
      <c r="AG391" t="str">
        <f>TRIM(MID(AF391, FIND(", ", AF391)+2, FIND(", ", AF391, FIND(", ", AF391)+1) - FIND(", ", AF391) - 2))</f>
        <v>Erich-Sailer-Str. 59</v>
      </c>
      <c r="AH391" t="str">
        <f>_xlfn.TEXTBEFORE(_xlfn.TEXTAFTER(AF391, ", ", 2), " ")</f>
        <v>74206</v>
      </c>
      <c r="AI391" t="str">
        <f>_xlfn.TEXTAFTER(_xlfn.TEXTAFTER(AF391, ", ", 2), " ")</f>
        <v>Bad Wimpfen-Zentrum</v>
      </c>
    </row>
    <row r="392" spans="1:35" x14ac:dyDescent="0.2">
      <c r="A392" t="str">
        <f>B392&amp;C392&amp;H392&amp;N392</f>
        <v>35000370TSV ErlenbachD-Junioren2</v>
      </c>
      <c r="B392" t="s">
        <v>701</v>
      </c>
      <c r="C392" t="s">
        <v>702</v>
      </c>
      <c r="D392" t="s">
        <v>34</v>
      </c>
      <c r="E392" t="s">
        <v>35</v>
      </c>
      <c r="F392" t="s">
        <v>36</v>
      </c>
      <c r="G392">
        <v>3</v>
      </c>
      <c r="H392" t="s">
        <v>833</v>
      </c>
      <c r="I392" s="5"/>
      <c r="J392" s="5"/>
      <c r="K392" s="5"/>
      <c r="L392" s="5"/>
      <c r="M392" s="5"/>
      <c r="N392">
        <v>2</v>
      </c>
      <c r="O392" t="s">
        <v>1111</v>
      </c>
      <c r="P392" t="s">
        <v>40</v>
      </c>
      <c r="Q392" t="s">
        <v>53</v>
      </c>
      <c r="R392" t="s">
        <v>1094</v>
      </c>
      <c r="T392" t="s">
        <v>837</v>
      </c>
      <c r="U392" t="s">
        <v>226</v>
      </c>
      <c r="V392" t="s">
        <v>43</v>
      </c>
      <c r="W392" t="s">
        <v>43</v>
      </c>
      <c r="Y392" t="s">
        <v>983</v>
      </c>
      <c r="Z392" t="s">
        <v>45</v>
      </c>
      <c r="AA392" t="s">
        <v>704</v>
      </c>
      <c r="AB392" t="s">
        <v>43</v>
      </c>
      <c r="AC392" t="s">
        <v>43</v>
      </c>
      <c r="AD392" t="s">
        <v>43</v>
      </c>
      <c r="AE392" t="s">
        <v>43</v>
      </c>
      <c r="AF392" t="str">
        <f>AA392</f>
        <v>Erlenbach Kunstrasen, Talstr. 21, 74235 Erlenbach-Zentrum</v>
      </c>
      <c r="AG392" t="str">
        <f>TRIM(MID(AF392, FIND(", ", AF392)+2, FIND(", ", AF392, FIND(", ", AF392)+1) - FIND(", ", AF392) - 2))</f>
        <v>Talstr. 21</v>
      </c>
      <c r="AH392" t="str">
        <f>_xlfn.TEXTBEFORE(_xlfn.TEXTAFTER(AF392, ", ", 2), " ")</f>
        <v>74235</v>
      </c>
      <c r="AI392" t="str">
        <f>_xlfn.TEXTAFTER(_xlfn.TEXTAFTER(AF392, ", ", 2), " ")</f>
        <v>Erlenbach-Zentrum</v>
      </c>
    </row>
    <row r="393" spans="1:35" x14ac:dyDescent="0.2">
      <c r="A393" t="str">
        <f>B393&amp;C393&amp;H393&amp;N393</f>
        <v>35002198FC Union HeilbronnD-Junioren3</v>
      </c>
      <c r="B393" t="s">
        <v>85</v>
      </c>
      <c r="C393" t="s">
        <v>86</v>
      </c>
      <c r="D393" t="s">
        <v>34</v>
      </c>
      <c r="E393" t="s">
        <v>35</v>
      </c>
      <c r="F393" t="s">
        <v>36</v>
      </c>
      <c r="G393">
        <v>3</v>
      </c>
      <c r="H393" t="s">
        <v>833</v>
      </c>
      <c r="I393" s="5"/>
      <c r="J393" s="5"/>
      <c r="K393" s="5"/>
      <c r="L393" s="5"/>
      <c r="M393" s="5"/>
      <c r="N393">
        <v>3</v>
      </c>
      <c r="O393" t="s">
        <v>1109</v>
      </c>
      <c r="P393" t="s">
        <v>40</v>
      </c>
      <c r="Q393" t="s">
        <v>40</v>
      </c>
      <c r="R393" t="s">
        <v>836</v>
      </c>
      <c r="T393" t="s">
        <v>837</v>
      </c>
      <c r="U393" t="s">
        <v>226</v>
      </c>
      <c r="V393" t="s">
        <v>43</v>
      </c>
      <c r="W393" t="s">
        <v>43</v>
      </c>
      <c r="Y393" t="s">
        <v>1110</v>
      </c>
      <c r="Z393" t="s">
        <v>45</v>
      </c>
      <c r="AA393" t="s">
        <v>100</v>
      </c>
      <c r="AB393" t="s">
        <v>43</v>
      </c>
      <c r="AC393" t="s">
        <v>43</v>
      </c>
      <c r="AD393" t="s">
        <v>43</v>
      </c>
      <c r="AE393" t="s">
        <v>43</v>
      </c>
      <c r="AF393" t="str">
        <f>AA393</f>
        <v>Neckarsulm Pichterich Kunstrasen, Pichterichstr. 71, 74172 Neckarsulm-Zentrum</v>
      </c>
      <c r="AG393" t="str">
        <f>TRIM(MID(AF393, FIND(", ", AF393)+2, FIND(", ", AF393, FIND(", ", AF393)+1) - FIND(", ", AF393) - 2))</f>
        <v>Pichterichstr. 71</v>
      </c>
      <c r="AH393" t="str">
        <f>_xlfn.TEXTBEFORE(_xlfn.TEXTAFTER(AF393, ", ", 2), " ")</f>
        <v>74172</v>
      </c>
      <c r="AI393" t="str">
        <f>_xlfn.TEXTAFTER(_xlfn.TEXTAFTER(AF393, ", ", 2), " ")</f>
        <v>Neckarsulm-Zentrum</v>
      </c>
    </row>
    <row r="394" spans="1:35" x14ac:dyDescent="0.2">
      <c r="A394" t="str">
        <f>B394&amp;C394&amp;H394&amp;N394</f>
        <v>35002225Aramäer HeilbronnD-Junioren1</v>
      </c>
      <c r="B394" t="s">
        <v>334</v>
      </c>
      <c r="C394" t="s">
        <v>335</v>
      </c>
      <c r="D394" t="s">
        <v>34</v>
      </c>
      <c r="E394" t="s">
        <v>35</v>
      </c>
      <c r="F394" t="s">
        <v>36</v>
      </c>
      <c r="G394">
        <v>3</v>
      </c>
      <c r="H394" t="s">
        <v>833</v>
      </c>
      <c r="I394" s="5"/>
      <c r="J394" s="5"/>
      <c r="K394" s="5"/>
      <c r="L394" s="5"/>
      <c r="M394" s="5"/>
      <c r="N394">
        <v>1</v>
      </c>
      <c r="O394" t="s">
        <v>335</v>
      </c>
      <c r="P394" t="s">
        <v>40</v>
      </c>
      <c r="Q394" t="s">
        <v>40</v>
      </c>
      <c r="R394" t="s">
        <v>836</v>
      </c>
      <c r="T394" t="s">
        <v>837</v>
      </c>
      <c r="U394" t="s">
        <v>118</v>
      </c>
      <c r="V394" t="s">
        <v>43</v>
      </c>
      <c r="W394" t="s">
        <v>43</v>
      </c>
      <c r="Y394" t="s">
        <v>43</v>
      </c>
      <c r="Z394" t="s">
        <v>45</v>
      </c>
      <c r="AA394" t="s">
        <v>337</v>
      </c>
      <c r="AB394" t="s">
        <v>43</v>
      </c>
      <c r="AC394" t="s">
        <v>43</v>
      </c>
      <c r="AD394" t="s">
        <v>43</v>
      </c>
      <c r="AE394" t="s">
        <v>43</v>
      </c>
      <c r="AF394" t="str">
        <f>AA394</f>
        <v>Sontheim Schulrasenplatz, Max-von-Laue-Str. 1-3, 74081 Heilbronn-Sontheim</v>
      </c>
      <c r="AG394" t="str">
        <f>TRIM(MID(AF394, FIND(", ", AF394)+2, FIND(", ", AF394, FIND(", ", AF394)+1) - FIND(", ", AF394) - 2))</f>
        <v>Max-von-Laue-Str. 1-3</v>
      </c>
      <c r="AH394" t="str">
        <f>_xlfn.TEXTBEFORE(_xlfn.TEXTAFTER(AF394, ", ", 2), " ")</f>
        <v>74081</v>
      </c>
      <c r="AI394" t="str">
        <f>_xlfn.TEXTAFTER(_xlfn.TEXTAFTER(AF394, ", ", 2), " ")</f>
        <v>Heilbronn-Sontheim</v>
      </c>
    </row>
    <row r="395" spans="1:35" x14ac:dyDescent="0.2">
      <c r="A395" t="str">
        <f>B395&amp;C395&amp;H395&amp;N395</f>
        <v>35002312VfR Heilbronn 96/18D-Junioren1</v>
      </c>
      <c r="B395" t="s">
        <v>32</v>
      </c>
      <c r="C395" t="s">
        <v>33</v>
      </c>
      <c r="D395" t="s">
        <v>34</v>
      </c>
      <c r="E395" t="s">
        <v>35</v>
      </c>
      <c r="F395" t="s">
        <v>36</v>
      </c>
      <c r="G395">
        <v>3</v>
      </c>
      <c r="H395" t="s">
        <v>833</v>
      </c>
      <c r="I395" s="5"/>
      <c r="J395" s="5"/>
      <c r="K395" s="5"/>
      <c r="L395" s="5"/>
      <c r="M395" s="5"/>
      <c r="N395">
        <v>1</v>
      </c>
      <c r="O395" t="s">
        <v>357</v>
      </c>
      <c r="P395" t="s">
        <v>40</v>
      </c>
      <c r="Q395" t="s">
        <v>40</v>
      </c>
      <c r="R395" t="s">
        <v>836</v>
      </c>
      <c r="T395" t="s">
        <v>837</v>
      </c>
      <c r="U395" t="s">
        <v>118</v>
      </c>
      <c r="V395" t="s">
        <v>43</v>
      </c>
      <c r="W395" t="s">
        <v>43</v>
      </c>
      <c r="Y395" t="s">
        <v>870</v>
      </c>
      <c r="Z395" t="s">
        <v>45</v>
      </c>
      <c r="AA395" t="s">
        <v>871</v>
      </c>
      <c r="AB395" t="s">
        <v>43</v>
      </c>
      <c r="AC395" t="s">
        <v>43</v>
      </c>
      <c r="AD395" t="s">
        <v>43</v>
      </c>
      <c r="AE395" t="s">
        <v>43</v>
      </c>
      <c r="AF395" t="str">
        <f>AA395</f>
        <v>Heilbronn Frankenstadion Rasen 2 (Nebenplatz), Badstr. 100, 74072 Heilbronn-Zentrum</v>
      </c>
      <c r="AG395" t="str">
        <f>TRIM(MID(AF395, FIND(", ", AF395)+2, FIND(", ", AF395, FIND(", ", AF395)+1) - FIND(", ", AF395) - 2))</f>
        <v>Badstr. 100</v>
      </c>
      <c r="AH395" t="str">
        <f>_xlfn.TEXTBEFORE(_xlfn.TEXTAFTER(AF395, ", ", 2), " ")</f>
        <v>74072</v>
      </c>
      <c r="AI395" t="str">
        <f>_xlfn.TEXTAFTER(_xlfn.TEXTAFTER(AF395, ", ", 2), " ")</f>
        <v>Heilbronn-Zentrum</v>
      </c>
    </row>
    <row r="396" spans="1:35" x14ac:dyDescent="0.2">
      <c r="A396" t="str">
        <f>B396&amp;C396&amp;H396&amp;N396</f>
        <v>35000924TSV NeuensteinD-Junioren2</v>
      </c>
      <c r="B396" t="s">
        <v>527</v>
      </c>
      <c r="C396" t="s">
        <v>528</v>
      </c>
      <c r="D396" t="s">
        <v>66</v>
      </c>
      <c r="E396" t="s">
        <v>35</v>
      </c>
      <c r="F396" t="s">
        <v>50</v>
      </c>
      <c r="G396">
        <v>3</v>
      </c>
      <c r="H396" t="s">
        <v>833</v>
      </c>
      <c r="I396" s="5"/>
      <c r="J396" s="5"/>
      <c r="K396" s="5"/>
      <c r="L396" s="5"/>
      <c r="M396" s="5"/>
      <c r="N396">
        <v>2</v>
      </c>
      <c r="O396" t="s">
        <v>1108</v>
      </c>
      <c r="P396" t="s">
        <v>40</v>
      </c>
      <c r="Q396" t="s">
        <v>53</v>
      </c>
      <c r="R396" t="s">
        <v>836</v>
      </c>
      <c r="T396" t="s">
        <v>837</v>
      </c>
      <c r="U396" t="s">
        <v>226</v>
      </c>
      <c r="V396" t="s">
        <v>43</v>
      </c>
      <c r="W396" t="s">
        <v>43</v>
      </c>
      <c r="Y396" t="s">
        <v>43</v>
      </c>
      <c r="Z396" t="s">
        <v>45</v>
      </c>
      <c r="AA396" t="s">
        <v>666</v>
      </c>
      <c r="AB396" t="s">
        <v>43</v>
      </c>
      <c r="AC396" t="s">
        <v>43</v>
      </c>
      <c r="AD396" t="s">
        <v>43</v>
      </c>
      <c r="AE396" t="s">
        <v>43</v>
      </c>
      <c r="AF396" t="str">
        <f>AA396</f>
        <v>Sportplatz 1 TSG Waldenburg, Siercker Str. 9, 74638 Waldenburg</v>
      </c>
      <c r="AG396" t="str">
        <f>TRIM(MID(AF396, FIND(", ", AF396)+2, FIND(", ", AF396, FIND(", ", AF396)+1) - FIND(", ", AF396) - 2))</f>
        <v>Siercker Str. 9</v>
      </c>
      <c r="AH396" t="str">
        <f>_xlfn.TEXTBEFORE(_xlfn.TEXTAFTER(AF396, ", ", 2), " ")</f>
        <v>74638</v>
      </c>
      <c r="AI396" t="str">
        <f>_xlfn.TEXTAFTER(_xlfn.TEXTAFTER(AF396, ", ", 2), " ")</f>
        <v>Waldenburg</v>
      </c>
    </row>
    <row r="397" spans="1:35" x14ac:dyDescent="0.2">
      <c r="A397" t="str">
        <f>B397&amp;C397&amp;H397&amp;N397</f>
        <v>35000110TGV Eintracht BeilsteinE-Junioren1</v>
      </c>
      <c r="B397" t="s">
        <v>397</v>
      </c>
      <c r="C397" t="s">
        <v>398</v>
      </c>
      <c r="D397" t="s">
        <v>34</v>
      </c>
      <c r="E397" t="s">
        <v>35</v>
      </c>
      <c r="F397" t="s">
        <v>36</v>
      </c>
      <c r="G397">
        <v>3</v>
      </c>
      <c r="H397" t="s">
        <v>1112</v>
      </c>
      <c r="I397" t="s">
        <v>114</v>
      </c>
      <c r="J397" t="s">
        <v>1113</v>
      </c>
      <c r="K397" t="s">
        <v>1114</v>
      </c>
      <c r="L397" t="s">
        <v>1392</v>
      </c>
      <c r="M397">
        <v>1</v>
      </c>
      <c r="N397">
        <v>1</v>
      </c>
      <c r="O397" t="s">
        <v>945</v>
      </c>
      <c r="P397" t="s">
        <v>40</v>
      </c>
      <c r="Q397" t="s">
        <v>53</v>
      </c>
      <c r="R397" t="s">
        <v>1094</v>
      </c>
      <c r="S397" t="s">
        <v>1115</v>
      </c>
      <c r="T397" t="s">
        <v>841</v>
      </c>
      <c r="U397" t="s">
        <v>118</v>
      </c>
      <c r="V397" t="s">
        <v>43</v>
      </c>
      <c r="W397" t="s">
        <v>43</v>
      </c>
      <c r="X397" t="s">
        <v>1118</v>
      </c>
      <c r="Y397" s="4" t="s">
        <v>1119</v>
      </c>
      <c r="Z397" t="s">
        <v>45</v>
      </c>
      <c r="AA397" t="s">
        <v>947</v>
      </c>
      <c r="AB397" t="s">
        <v>43</v>
      </c>
      <c r="AC397" t="s">
        <v>43</v>
      </c>
      <c r="AD397" t="s">
        <v>43</v>
      </c>
      <c r="AE397" t="s">
        <v>43</v>
      </c>
      <c r="AF397" t="str">
        <f>AA397</f>
        <v>Beilstein Kunstrasen, Albert-Einstein-Str. 20, 71717 Beilstein-Zentrum</v>
      </c>
      <c r="AG397" t="str">
        <f>TRIM(MID(AF397, FIND(", ", AF397)+2, FIND(", ", AF397, FIND(", ", AF397)+1) - FIND(", ", AF397) - 2))</f>
        <v>Albert-Einstein-Str. 20</v>
      </c>
      <c r="AH397" t="str">
        <f>_xlfn.TEXTBEFORE(_xlfn.TEXTAFTER(AF397, ", ", 2), " ")</f>
        <v>71717</v>
      </c>
      <c r="AI397" t="str">
        <f>_xlfn.TEXTAFTER(_xlfn.TEXTAFTER(AF397, ", ", 2), " ")</f>
        <v>Beilstein-Zentrum</v>
      </c>
    </row>
    <row r="398" spans="1:35" x14ac:dyDescent="0.2">
      <c r="A398" t="str">
        <f>B398&amp;C398&amp;H398&amp;N398</f>
        <v>35000187TG BöckingenE-Junioren1</v>
      </c>
      <c r="B398" t="s">
        <v>229</v>
      </c>
      <c r="C398" t="s">
        <v>230</v>
      </c>
      <c r="D398" t="s">
        <v>34</v>
      </c>
      <c r="E398" t="s">
        <v>35</v>
      </c>
      <c r="F398" t="s">
        <v>36</v>
      </c>
      <c r="G398">
        <v>3</v>
      </c>
      <c r="H398" t="s">
        <v>1112</v>
      </c>
      <c r="I398" t="s">
        <v>114</v>
      </c>
      <c r="J398" t="s">
        <v>1113</v>
      </c>
      <c r="K398" t="s">
        <v>1114</v>
      </c>
      <c r="L398" t="s">
        <v>1392</v>
      </c>
      <c r="M398">
        <v>2</v>
      </c>
      <c r="N398">
        <v>1</v>
      </c>
      <c r="O398" t="s">
        <v>944</v>
      </c>
      <c r="P398" t="s">
        <v>40</v>
      </c>
      <c r="Q398" t="s">
        <v>53</v>
      </c>
      <c r="R398" t="s">
        <v>1094</v>
      </c>
      <c r="S398" t="s">
        <v>1115</v>
      </c>
      <c r="T398" t="s">
        <v>837</v>
      </c>
      <c r="U398" t="s">
        <v>118</v>
      </c>
      <c r="V398" t="s">
        <v>43</v>
      </c>
      <c r="W398" t="s">
        <v>43</v>
      </c>
      <c r="Y398" t="s">
        <v>43</v>
      </c>
      <c r="Z398" t="s">
        <v>45</v>
      </c>
      <c r="AA398" t="s">
        <v>231</v>
      </c>
      <c r="AB398" t="s">
        <v>43</v>
      </c>
      <c r="AC398" t="s">
        <v>43</v>
      </c>
      <c r="AD398" t="s">
        <v>43</v>
      </c>
      <c r="AE398" t="s">
        <v>43</v>
      </c>
      <c r="AF398" t="str">
        <f>AA398</f>
        <v>Böckingen (TG) Viehweide Kunstrasen, Viehweide 20, 74080 Heilbronn-Böckingen</v>
      </c>
      <c r="AG398" t="str">
        <f>TRIM(MID(AF398, FIND(", ", AF398)+2, FIND(", ", AF398, FIND(", ", AF398)+1) - FIND(", ", AF398) - 2))</f>
        <v>Viehweide 20</v>
      </c>
      <c r="AH398" t="str">
        <f>_xlfn.TEXTBEFORE(_xlfn.TEXTAFTER(AF398, ", ", 2), " ")</f>
        <v>74080</v>
      </c>
      <c r="AI398" t="str">
        <f>_xlfn.TEXTAFTER(_xlfn.TEXTAFTER(AF398, ", ", 2), " ")</f>
        <v>Heilbronn-Böckingen</v>
      </c>
    </row>
    <row r="399" spans="1:35" x14ac:dyDescent="0.2">
      <c r="A399" t="str">
        <f>B399&amp;C399&amp;H399&amp;N399</f>
        <v>35000370TSV ErlenbachE-Junioren1</v>
      </c>
      <c r="B399" t="s">
        <v>701</v>
      </c>
      <c r="C399" t="s">
        <v>702</v>
      </c>
      <c r="D399" t="s">
        <v>34</v>
      </c>
      <c r="E399" t="s">
        <v>35</v>
      </c>
      <c r="F399" t="s">
        <v>36</v>
      </c>
      <c r="G399">
        <v>3</v>
      </c>
      <c r="H399" t="s">
        <v>1112</v>
      </c>
      <c r="I399" t="s">
        <v>114</v>
      </c>
      <c r="J399" t="s">
        <v>1113</v>
      </c>
      <c r="K399" t="s">
        <v>1114</v>
      </c>
      <c r="L399" t="s">
        <v>1392</v>
      </c>
      <c r="M399">
        <v>4</v>
      </c>
      <c r="N399">
        <v>1</v>
      </c>
      <c r="O399" t="s">
        <v>981</v>
      </c>
      <c r="P399" t="s">
        <v>40</v>
      </c>
      <c r="Q399" t="s">
        <v>53</v>
      </c>
      <c r="R399" t="s">
        <v>1094</v>
      </c>
      <c r="S399" t="s">
        <v>1115</v>
      </c>
      <c r="T399" t="s">
        <v>837</v>
      </c>
      <c r="U399" t="s">
        <v>118</v>
      </c>
      <c r="V399" t="s">
        <v>43</v>
      </c>
      <c r="W399" t="s">
        <v>43</v>
      </c>
      <c r="X399" t="s">
        <v>982</v>
      </c>
      <c r="Y399" s="4" t="s">
        <v>1120</v>
      </c>
      <c r="Z399" t="s">
        <v>45</v>
      </c>
      <c r="AA399" t="s">
        <v>704</v>
      </c>
      <c r="AB399" t="s">
        <v>43</v>
      </c>
      <c r="AC399" t="s">
        <v>43</v>
      </c>
      <c r="AD399" t="s">
        <v>43</v>
      </c>
      <c r="AE399" t="s">
        <v>43</v>
      </c>
      <c r="AF399" t="str">
        <f>AA399</f>
        <v>Erlenbach Kunstrasen, Talstr. 21, 74235 Erlenbach-Zentrum</v>
      </c>
      <c r="AG399" t="str">
        <f>TRIM(MID(AF399, FIND(", ", AF399)+2, FIND(", ", AF399, FIND(", ", AF399)+1) - FIND(", ", AF399) - 2))</f>
        <v>Talstr. 21</v>
      </c>
      <c r="AH399" t="str">
        <f>_xlfn.TEXTBEFORE(_xlfn.TEXTAFTER(AF399, ", ", 2), " ")</f>
        <v>74235</v>
      </c>
      <c r="AI399" t="str">
        <f>_xlfn.TEXTAFTER(_xlfn.TEXTAFTER(AF399, ", ", 2), " ")</f>
        <v>Erlenbach-Zentrum</v>
      </c>
    </row>
    <row r="400" spans="1:35" x14ac:dyDescent="0.2">
      <c r="A400" t="str">
        <f>B400&amp;C400&amp;H400&amp;N400</f>
        <v>35000842TSV MeimsheimE-Junioren1</v>
      </c>
      <c r="B400" t="s">
        <v>217</v>
      </c>
      <c r="C400" t="s">
        <v>218</v>
      </c>
      <c r="D400" t="s">
        <v>34</v>
      </c>
      <c r="E400" t="s">
        <v>35</v>
      </c>
      <c r="F400" t="s">
        <v>36</v>
      </c>
      <c r="G400">
        <v>3</v>
      </c>
      <c r="H400" t="s">
        <v>1112</v>
      </c>
      <c r="I400" t="s">
        <v>114</v>
      </c>
      <c r="J400" t="s">
        <v>1113</v>
      </c>
      <c r="K400" t="s">
        <v>1114</v>
      </c>
      <c r="L400" t="s">
        <v>1392</v>
      </c>
      <c r="M400">
        <v>6</v>
      </c>
      <c r="N400">
        <v>1</v>
      </c>
      <c r="O400" t="s">
        <v>1116</v>
      </c>
      <c r="P400" t="s">
        <v>40</v>
      </c>
      <c r="Q400" t="s">
        <v>53</v>
      </c>
      <c r="R400" t="s">
        <v>1094</v>
      </c>
      <c r="S400" t="s">
        <v>1115</v>
      </c>
      <c r="T400" t="s">
        <v>837</v>
      </c>
      <c r="U400" t="s">
        <v>118</v>
      </c>
      <c r="V400" t="s">
        <v>43</v>
      </c>
      <c r="W400" t="s">
        <v>43</v>
      </c>
      <c r="Y400" t="s">
        <v>43</v>
      </c>
      <c r="Z400" t="s">
        <v>45</v>
      </c>
      <c r="AA400" t="s">
        <v>395</v>
      </c>
      <c r="AB400" t="s">
        <v>43</v>
      </c>
      <c r="AC400" t="s">
        <v>43</v>
      </c>
      <c r="AD400" t="s">
        <v>43</v>
      </c>
      <c r="AE400" t="s">
        <v>43</v>
      </c>
      <c r="AF400" t="str">
        <f>AA400</f>
        <v>Brackenheim Wiesental Kunstrasen, Im Wiesental, 74336 Brackenheim-Zentrum</v>
      </c>
      <c r="AG400" t="str">
        <f>TRIM(MID(AF400, FIND(", ", AF400)+2, FIND(", ", AF400, FIND(", ", AF400)+1) - FIND(", ", AF400) - 2))</f>
        <v>Im Wiesental</v>
      </c>
      <c r="AH400" t="str">
        <f>_xlfn.TEXTBEFORE(_xlfn.TEXTAFTER(AF400, ", ", 2), " ")</f>
        <v>74336</v>
      </c>
      <c r="AI400" t="str">
        <f>_xlfn.TEXTAFTER(_xlfn.TEXTAFTER(AF400, ", ", 2), " ")</f>
        <v>Brackenheim-Zentrum</v>
      </c>
    </row>
    <row r="401" spans="1:35" x14ac:dyDescent="0.2">
      <c r="A401" t="str">
        <f>B401&amp;C401&amp;H401&amp;N401</f>
        <v>35000910Spfr NeckarwestheimE-Junioren1</v>
      </c>
      <c r="B401" t="s">
        <v>68</v>
      </c>
      <c r="C401" t="s">
        <v>69</v>
      </c>
      <c r="D401" t="s">
        <v>34</v>
      </c>
      <c r="E401" t="s">
        <v>35</v>
      </c>
      <c r="F401" t="s">
        <v>36</v>
      </c>
      <c r="G401">
        <v>3</v>
      </c>
      <c r="H401" t="s">
        <v>1112</v>
      </c>
      <c r="I401" t="s">
        <v>114</v>
      </c>
      <c r="J401" t="s">
        <v>1113</v>
      </c>
      <c r="K401" t="s">
        <v>1114</v>
      </c>
      <c r="L401" t="s">
        <v>1392</v>
      </c>
      <c r="M401">
        <v>7</v>
      </c>
      <c r="N401">
        <v>1</v>
      </c>
      <c r="O401" t="s">
        <v>370</v>
      </c>
      <c r="P401" t="s">
        <v>40</v>
      </c>
      <c r="Q401" t="s">
        <v>40</v>
      </c>
      <c r="R401" t="s">
        <v>1094</v>
      </c>
      <c r="S401" t="s">
        <v>910</v>
      </c>
      <c r="T401" t="s">
        <v>837</v>
      </c>
      <c r="U401" t="s">
        <v>118</v>
      </c>
      <c r="V401" t="s">
        <v>43</v>
      </c>
      <c r="W401" t="s">
        <v>43</v>
      </c>
      <c r="X401" t="s">
        <v>959</v>
      </c>
      <c r="Y401" s="4" t="s">
        <v>1117</v>
      </c>
      <c r="Z401" t="s">
        <v>45</v>
      </c>
      <c r="AA401" t="s">
        <v>74</v>
      </c>
      <c r="AB401" t="s">
        <v>43</v>
      </c>
      <c r="AC401" t="s">
        <v>43</v>
      </c>
      <c r="AD401" t="s">
        <v>43</v>
      </c>
      <c r="AE401" t="s">
        <v>43</v>
      </c>
      <c r="AF401" t="str">
        <f>AA401</f>
        <v>Neckarwestheim Rasen 1, Reblandstr. 31, 74382 Neckarwestheim-Zentrum</v>
      </c>
      <c r="AG401" t="str">
        <f>TRIM(MID(AF401, FIND(", ", AF401)+2, FIND(", ", AF401, FIND(", ", AF401)+1) - FIND(", ", AF401) - 2))</f>
        <v>Reblandstr. 31</v>
      </c>
      <c r="AH401" t="str">
        <f>_xlfn.TEXTBEFORE(_xlfn.TEXTAFTER(AF401, ", ", 2), " ")</f>
        <v>74382</v>
      </c>
      <c r="AI401" t="str">
        <f>_xlfn.TEXTAFTER(_xlfn.TEXTAFTER(AF401, ", ", 2), " ")</f>
        <v>Neckarwestheim-Zentrum</v>
      </c>
    </row>
    <row r="402" spans="1:35" x14ac:dyDescent="0.2">
      <c r="A402" t="str">
        <f>B402&amp;C402&amp;H402&amp;N402</f>
        <v>35002312VfR Heilbronn 96/18E-Junioren1</v>
      </c>
      <c r="B402" t="s">
        <v>32</v>
      </c>
      <c r="C402" t="s">
        <v>33</v>
      </c>
      <c r="D402" t="s">
        <v>34</v>
      </c>
      <c r="E402" t="s">
        <v>35</v>
      </c>
      <c r="F402" t="s">
        <v>36</v>
      </c>
      <c r="G402">
        <v>3</v>
      </c>
      <c r="H402" t="s">
        <v>1112</v>
      </c>
      <c r="I402" t="s">
        <v>114</v>
      </c>
      <c r="J402" t="s">
        <v>1113</v>
      </c>
      <c r="K402" t="s">
        <v>1114</v>
      </c>
      <c r="L402" t="s">
        <v>1392</v>
      </c>
      <c r="M402">
        <v>5</v>
      </c>
      <c r="N402">
        <v>1</v>
      </c>
      <c r="O402" t="s">
        <v>33</v>
      </c>
      <c r="P402" t="s">
        <v>40</v>
      </c>
      <c r="Q402" t="s">
        <v>53</v>
      </c>
      <c r="R402" t="s">
        <v>1094</v>
      </c>
      <c r="S402" t="s">
        <v>1115</v>
      </c>
      <c r="T402" t="s">
        <v>837</v>
      </c>
      <c r="U402" t="s">
        <v>118</v>
      </c>
      <c r="V402" t="s">
        <v>43</v>
      </c>
      <c r="W402" t="s">
        <v>43</v>
      </c>
      <c r="Y402" t="s">
        <v>43</v>
      </c>
      <c r="Z402" t="s">
        <v>45</v>
      </c>
      <c r="AA402" t="s">
        <v>871</v>
      </c>
      <c r="AB402" t="s">
        <v>43</v>
      </c>
      <c r="AC402" t="s">
        <v>43</v>
      </c>
      <c r="AD402" t="s">
        <v>43</v>
      </c>
      <c r="AE402" t="s">
        <v>43</v>
      </c>
      <c r="AF402" t="str">
        <f>AA402</f>
        <v>Heilbronn Frankenstadion Rasen 2 (Nebenplatz), Badstr. 100, 74072 Heilbronn-Zentrum</v>
      </c>
      <c r="AG402" t="str">
        <f>TRIM(MID(AF402, FIND(", ", AF402)+2, FIND(", ", AF402, FIND(", ", AF402)+1) - FIND(", ", AF402) - 2))</f>
        <v>Badstr. 100</v>
      </c>
      <c r="AH402" t="str">
        <f>_xlfn.TEXTBEFORE(_xlfn.TEXTAFTER(AF402, ", ", 2), " ")</f>
        <v>74072</v>
      </c>
      <c r="AI402" t="str">
        <f>_xlfn.TEXTAFTER(_xlfn.TEXTAFTER(AF402, ", ", 2), " ")</f>
        <v>Heilbronn-Zentrum</v>
      </c>
    </row>
    <row r="403" spans="1:35" x14ac:dyDescent="0.2">
      <c r="A403" t="str">
        <f>B403&amp;C403&amp;H403&amp;N403</f>
        <v>35000904SC Neckarsulm-AmorbachE-Junioren1</v>
      </c>
      <c r="B403" t="s">
        <v>112</v>
      </c>
      <c r="C403" t="s">
        <v>113</v>
      </c>
      <c r="D403" t="s">
        <v>77</v>
      </c>
      <c r="E403" t="s">
        <v>35</v>
      </c>
      <c r="F403" t="s">
        <v>36</v>
      </c>
      <c r="G403">
        <v>3</v>
      </c>
      <c r="H403" t="s">
        <v>1112</v>
      </c>
      <c r="I403" t="s">
        <v>114</v>
      </c>
      <c r="J403" t="s">
        <v>1113</v>
      </c>
      <c r="K403" t="s">
        <v>1114</v>
      </c>
      <c r="L403" t="s">
        <v>1392</v>
      </c>
      <c r="M403">
        <v>8</v>
      </c>
      <c r="N403">
        <v>1</v>
      </c>
      <c r="O403" t="s">
        <v>625</v>
      </c>
      <c r="P403" t="s">
        <v>40</v>
      </c>
      <c r="Q403" t="s">
        <v>40</v>
      </c>
      <c r="R403" t="s">
        <v>1094</v>
      </c>
      <c r="S403" t="s">
        <v>910</v>
      </c>
      <c r="T403" t="s">
        <v>841</v>
      </c>
      <c r="U403" t="s">
        <v>118</v>
      </c>
      <c r="V403" t="s">
        <v>43</v>
      </c>
      <c r="W403" t="s">
        <v>43</v>
      </c>
      <c r="Y403" t="s">
        <v>118</v>
      </c>
      <c r="Z403" t="s">
        <v>45</v>
      </c>
      <c r="AA403" t="s">
        <v>119</v>
      </c>
      <c r="AB403" t="s">
        <v>43</v>
      </c>
      <c r="AC403" t="s">
        <v>43</v>
      </c>
      <c r="AD403" t="s">
        <v>43</v>
      </c>
      <c r="AE403" t="s">
        <v>43</v>
      </c>
      <c r="AF403" t="str">
        <f>AA403</f>
        <v>Amorbach Kunstrasen, Schwabenweg 25, 74172 Neckarsulm-Amorbach</v>
      </c>
      <c r="AG403" t="str">
        <f>TRIM(MID(AF403, FIND(", ", AF403)+2, FIND(", ", AF403, FIND(", ", AF403)+1) - FIND(", ", AF403) - 2))</f>
        <v>Schwabenweg 25</v>
      </c>
      <c r="AH403" t="str">
        <f>_xlfn.TEXTBEFORE(_xlfn.TEXTAFTER(AF403, ", ", 2), " ")</f>
        <v>74172</v>
      </c>
      <c r="AI403" t="str">
        <f>_xlfn.TEXTAFTER(_xlfn.TEXTAFTER(AF403, ", ", 2), " ")</f>
        <v>Neckarsulm-Amorbach</v>
      </c>
    </row>
    <row r="404" spans="1:35" x14ac:dyDescent="0.2">
      <c r="A404" t="str">
        <f>B404&amp;C404&amp;H404&amp;N404</f>
        <v>35001521SG Bad WimpfenE-Junioren1</v>
      </c>
      <c r="B404" t="s">
        <v>120</v>
      </c>
      <c r="C404" t="s">
        <v>121</v>
      </c>
      <c r="D404" t="s">
        <v>77</v>
      </c>
      <c r="E404" t="s">
        <v>35</v>
      </c>
      <c r="F404" t="s">
        <v>36</v>
      </c>
      <c r="G404">
        <v>3</v>
      </c>
      <c r="H404" t="s">
        <v>1112</v>
      </c>
      <c r="I404" t="s">
        <v>114</v>
      </c>
      <c r="J404" t="s">
        <v>1113</v>
      </c>
      <c r="K404" t="s">
        <v>1114</v>
      </c>
      <c r="L404" t="s">
        <v>1392</v>
      </c>
      <c r="M404">
        <v>3</v>
      </c>
      <c r="N404">
        <v>1</v>
      </c>
      <c r="O404" t="s">
        <v>374</v>
      </c>
      <c r="P404" t="s">
        <v>40</v>
      </c>
      <c r="Q404" t="s">
        <v>40</v>
      </c>
      <c r="R404" t="s">
        <v>1094</v>
      </c>
      <c r="S404" t="s">
        <v>1115</v>
      </c>
      <c r="T404" t="s">
        <v>837</v>
      </c>
      <c r="U404" t="s">
        <v>118</v>
      </c>
      <c r="V404" t="s">
        <v>43</v>
      </c>
      <c r="W404" t="s">
        <v>43</v>
      </c>
      <c r="Y404" t="s">
        <v>43</v>
      </c>
      <c r="Z404" t="s">
        <v>45</v>
      </c>
      <c r="AA404" t="s">
        <v>122</v>
      </c>
      <c r="AB404" t="s">
        <v>43</v>
      </c>
      <c r="AC404" t="s">
        <v>43</v>
      </c>
      <c r="AD404" t="s">
        <v>43</v>
      </c>
      <c r="AE404" t="s">
        <v>43</v>
      </c>
      <c r="AF404" t="str">
        <f>AA404</f>
        <v>Bad Wimpfen Kunstrasen, Erich-Sailer-Str. 59, 74206 Bad Wimpfen-Zentrum</v>
      </c>
      <c r="AG404" t="str">
        <f>TRIM(MID(AF404, FIND(", ", AF404)+2, FIND(", ", AF404, FIND(", ", AF404)+1) - FIND(", ", AF404) - 2))</f>
        <v>Erich-Sailer-Str. 59</v>
      </c>
      <c r="AH404" t="str">
        <f>_xlfn.TEXTBEFORE(_xlfn.TEXTAFTER(AF404, ", ", 2), " ")</f>
        <v>74206</v>
      </c>
      <c r="AI404" t="str">
        <f>_xlfn.TEXTAFTER(_xlfn.TEXTAFTER(AF404, ", ", 2), " ")</f>
        <v>Bad Wimpfen-Zentrum</v>
      </c>
    </row>
    <row r="405" spans="1:35" x14ac:dyDescent="0.2">
      <c r="A405" t="str">
        <f>B405&amp;C405&amp;H405&amp;N405</f>
        <v>35000006SC AbstattE-Junioren1</v>
      </c>
      <c r="B405" t="s">
        <v>154</v>
      </c>
      <c r="C405" t="s">
        <v>155</v>
      </c>
      <c r="D405" t="s">
        <v>34</v>
      </c>
      <c r="E405" t="s">
        <v>35</v>
      </c>
      <c r="F405" t="s">
        <v>36</v>
      </c>
      <c r="G405">
        <v>3</v>
      </c>
      <c r="H405" t="s">
        <v>1112</v>
      </c>
      <c r="I405" t="s">
        <v>114</v>
      </c>
      <c r="J405" t="s">
        <v>1113</v>
      </c>
      <c r="K405" t="s">
        <v>1121</v>
      </c>
      <c r="L405" t="s">
        <v>1393</v>
      </c>
      <c r="M405">
        <v>8</v>
      </c>
      <c r="N405">
        <v>1</v>
      </c>
      <c r="O405" t="s">
        <v>1124</v>
      </c>
      <c r="P405" t="s">
        <v>40</v>
      </c>
      <c r="Q405" t="s">
        <v>53</v>
      </c>
      <c r="R405" t="s">
        <v>1094</v>
      </c>
      <c r="S405" t="s">
        <v>989</v>
      </c>
      <c r="T405" t="s">
        <v>837</v>
      </c>
      <c r="U405" t="s">
        <v>118</v>
      </c>
      <c r="V405" t="s">
        <v>43</v>
      </c>
      <c r="W405" t="s">
        <v>43</v>
      </c>
      <c r="Y405" t="s">
        <v>43</v>
      </c>
      <c r="Z405" t="s">
        <v>45</v>
      </c>
      <c r="AA405" t="s">
        <v>157</v>
      </c>
      <c r="AB405" t="s">
        <v>43</v>
      </c>
      <c r="AC405" t="s">
        <v>43</v>
      </c>
      <c r="AD405" t="s">
        <v>43</v>
      </c>
      <c r="AE405" t="s">
        <v>43</v>
      </c>
      <c r="AF405" t="str">
        <f>AA405</f>
        <v>Abstatt Kunstrasen, Kirschenwiesen, 74232 Abstatt-Zentrum</v>
      </c>
      <c r="AG405" t="str">
        <f>TRIM(MID(AF405, FIND(", ", AF405)+2, FIND(", ", AF405, FIND(", ", AF405)+1) - FIND(", ", AF405) - 2))</f>
        <v>Kirschenwiesen</v>
      </c>
      <c r="AH405" t="str">
        <f>_xlfn.TEXTBEFORE(_xlfn.TEXTAFTER(AF405, ", ", 2), " ")</f>
        <v>74232</v>
      </c>
      <c r="AI405" t="str">
        <f>_xlfn.TEXTAFTER(_xlfn.TEXTAFTER(AF405, ", ", 2), " ")</f>
        <v>Abstatt-Zentrum</v>
      </c>
    </row>
    <row r="406" spans="1:35" x14ac:dyDescent="0.2">
      <c r="A406" t="str">
        <f>B406&amp;C406&amp;H406&amp;N406</f>
        <v>35000411Sportverein Heilbronn am Leinbach 1891E-Junioren1</v>
      </c>
      <c r="B406" t="s">
        <v>223</v>
      </c>
      <c r="C406" t="s">
        <v>224</v>
      </c>
      <c r="D406" t="s">
        <v>34</v>
      </c>
      <c r="E406" t="s">
        <v>35</v>
      </c>
      <c r="F406" t="s">
        <v>36</v>
      </c>
      <c r="G406">
        <v>3</v>
      </c>
      <c r="H406" t="s">
        <v>1112</v>
      </c>
      <c r="I406" t="s">
        <v>114</v>
      </c>
      <c r="J406" t="s">
        <v>1113</v>
      </c>
      <c r="K406" t="s">
        <v>1121</v>
      </c>
      <c r="L406" t="s">
        <v>1393</v>
      </c>
      <c r="M406">
        <v>7</v>
      </c>
      <c r="N406">
        <v>1</v>
      </c>
      <c r="O406" t="s">
        <v>401</v>
      </c>
      <c r="P406" t="s">
        <v>40</v>
      </c>
      <c r="Q406" t="s">
        <v>40</v>
      </c>
      <c r="R406" t="s">
        <v>1094</v>
      </c>
      <c r="S406" t="s">
        <v>1115</v>
      </c>
      <c r="T406" t="s">
        <v>849</v>
      </c>
      <c r="U406" t="s">
        <v>118</v>
      </c>
      <c r="V406" t="s">
        <v>43</v>
      </c>
      <c r="W406" t="s">
        <v>43</v>
      </c>
      <c r="Y406" t="s">
        <v>43</v>
      </c>
      <c r="Z406" t="s">
        <v>45</v>
      </c>
      <c r="AA406" t="s">
        <v>228</v>
      </c>
      <c r="AB406" t="s">
        <v>43</v>
      </c>
      <c r="AC406" t="s">
        <v>43</v>
      </c>
      <c r="AD406" t="s">
        <v>43</v>
      </c>
      <c r="AE406" t="s">
        <v>43</v>
      </c>
      <c r="AF406" t="str">
        <f>AA406</f>
        <v>Frankenbach Rasen, Riedweg 52, 74078 Heilbronn-Frankenbach</v>
      </c>
      <c r="AG406" t="str">
        <f>TRIM(MID(AF406, FIND(", ", AF406)+2, FIND(", ", AF406, FIND(", ", AF406)+1) - FIND(", ", AF406) - 2))</f>
        <v>Riedweg 52</v>
      </c>
      <c r="AH406" t="str">
        <f>_xlfn.TEXTBEFORE(_xlfn.TEXTAFTER(AF406, ", ", 2), " ")</f>
        <v>74078</v>
      </c>
      <c r="AI406" t="str">
        <f>_xlfn.TEXTAFTER(_xlfn.TEXTAFTER(AF406, ", ", 2), " ")</f>
        <v>Heilbronn-Frankenbach</v>
      </c>
    </row>
    <row r="407" spans="1:35" x14ac:dyDescent="0.2">
      <c r="A407" t="str">
        <f>B407&amp;C407&amp;H407&amp;N407</f>
        <v>35000777SV LeingartenE-Junioren1</v>
      </c>
      <c r="B407" t="s">
        <v>158</v>
      </c>
      <c r="C407" t="s">
        <v>159</v>
      </c>
      <c r="D407" t="s">
        <v>34</v>
      </c>
      <c r="E407" t="s">
        <v>35</v>
      </c>
      <c r="F407" t="s">
        <v>36</v>
      </c>
      <c r="G407">
        <v>3</v>
      </c>
      <c r="H407" t="s">
        <v>1112</v>
      </c>
      <c r="I407" t="s">
        <v>114</v>
      </c>
      <c r="J407" t="s">
        <v>1113</v>
      </c>
      <c r="K407" t="s">
        <v>1121</v>
      </c>
      <c r="L407" t="s">
        <v>1393</v>
      </c>
      <c r="M407">
        <v>5</v>
      </c>
      <c r="N407">
        <v>1</v>
      </c>
      <c r="O407" t="s">
        <v>962</v>
      </c>
      <c r="P407" t="s">
        <v>40</v>
      </c>
      <c r="Q407" t="s">
        <v>40</v>
      </c>
      <c r="R407" t="s">
        <v>1094</v>
      </c>
      <c r="S407" t="s">
        <v>989</v>
      </c>
      <c r="T407" t="s">
        <v>849</v>
      </c>
      <c r="U407" t="s">
        <v>118</v>
      </c>
      <c r="V407" t="s">
        <v>43</v>
      </c>
      <c r="W407" t="s">
        <v>43</v>
      </c>
      <c r="Y407" t="s">
        <v>963</v>
      </c>
      <c r="Z407" t="s">
        <v>45</v>
      </c>
      <c r="AA407" t="s">
        <v>63</v>
      </c>
      <c r="AB407" t="s">
        <v>43</v>
      </c>
      <c r="AC407" t="s">
        <v>43</v>
      </c>
      <c r="AD407" t="s">
        <v>43</v>
      </c>
      <c r="AE407" t="s">
        <v>43</v>
      </c>
      <c r="AF407" t="str">
        <f>AA407</f>
        <v>Leingarten Kunstrasen, Egarten, 74211 Leingarten-Großgartach</v>
      </c>
      <c r="AG407" t="str">
        <f>TRIM(MID(AF407, FIND(", ", AF407)+2, FIND(", ", AF407, FIND(", ", AF407)+1) - FIND(", ", AF407) - 2))</f>
        <v>Egarten</v>
      </c>
      <c r="AH407" t="str">
        <f>_xlfn.TEXTBEFORE(_xlfn.TEXTAFTER(AF407, ", ", 2), " ")</f>
        <v>74211</v>
      </c>
      <c r="AI407" t="str">
        <f>_xlfn.TEXTAFTER(_xlfn.TEXTAFTER(AF407, ", ", 2), " ")</f>
        <v>Leingarten-Großgartach</v>
      </c>
    </row>
    <row r="408" spans="1:35" x14ac:dyDescent="0.2">
      <c r="A408" t="str">
        <f>B408&amp;C408&amp;H408&amp;N408</f>
        <v>35001178SV SülzbachE-Junioren1</v>
      </c>
      <c r="B408" t="s">
        <v>858</v>
      </c>
      <c r="C408" t="s">
        <v>859</v>
      </c>
      <c r="D408" t="s">
        <v>34</v>
      </c>
      <c r="E408" t="s">
        <v>35</v>
      </c>
      <c r="F408" t="s">
        <v>36</v>
      </c>
      <c r="G408">
        <v>3</v>
      </c>
      <c r="H408" t="s">
        <v>1112</v>
      </c>
      <c r="I408" t="s">
        <v>114</v>
      </c>
      <c r="J408" t="s">
        <v>1113</v>
      </c>
      <c r="K408" t="s">
        <v>1121</v>
      </c>
      <c r="L408" t="s">
        <v>1393</v>
      </c>
      <c r="M408">
        <v>3</v>
      </c>
      <c r="N408">
        <v>1</v>
      </c>
      <c r="O408" t="s">
        <v>1127</v>
      </c>
      <c r="P408" t="s">
        <v>40</v>
      </c>
      <c r="Q408" t="s">
        <v>53</v>
      </c>
      <c r="R408" t="s">
        <v>1094</v>
      </c>
      <c r="S408" t="s">
        <v>1115</v>
      </c>
      <c r="T408" t="s">
        <v>837</v>
      </c>
      <c r="U408" t="s">
        <v>118</v>
      </c>
      <c r="V408" t="s">
        <v>43</v>
      </c>
      <c r="W408" t="s">
        <v>43</v>
      </c>
      <c r="Y408" t="s">
        <v>43</v>
      </c>
      <c r="Z408" t="s">
        <v>45</v>
      </c>
      <c r="AA408" t="s">
        <v>251</v>
      </c>
      <c r="AB408" t="s">
        <v>43</v>
      </c>
      <c r="AC408" t="s">
        <v>43</v>
      </c>
      <c r="AD408" t="s">
        <v>43</v>
      </c>
      <c r="AE408" t="s">
        <v>43</v>
      </c>
      <c r="AF408" t="str">
        <f>AA408</f>
        <v>Sülzbach Rasen, Talstr. 25, 74182 Obersulm-Sülzbach</v>
      </c>
      <c r="AG408" t="str">
        <f>TRIM(MID(AF408, FIND(", ", AF408)+2, FIND(", ", AF408, FIND(", ", AF408)+1) - FIND(", ", AF408) - 2))</f>
        <v>Talstr. 25</v>
      </c>
      <c r="AH408" t="str">
        <f>_xlfn.TEXTBEFORE(_xlfn.TEXTAFTER(AF408, ", ", 2), " ")</f>
        <v>74182</v>
      </c>
      <c r="AI408" t="str">
        <f>_xlfn.TEXTAFTER(_xlfn.TEXTAFTER(AF408, ", ", 2), " ")</f>
        <v>Obersulm-Sülzbach</v>
      </c>
    </row>
    <row r="409" spans="1:35" x14ac:dyDescent="0.2">
      <c r="A409" t="str">
        <f>B409&amp;C409&amp;H409&amp;N409</f>
        <v>35001762FC ObersulmE-Junioren1</v>
      </c>
      <c r="B409" t="s">
        <v>473</v>
      </c>
      <c r="C409" t="s">
        <v>474</v>
      </c>
      <c r="D409" t="s">
        <v>34</v>
      </c>
      <c r="E409" t="s">
        <v>35</v>
      </c>
      <c r="F409" t="s">
        <v>36</v>
      </c>
      <c r="G409">
        <v>3</v>
      </c>
      <c r="H409" t="s">
        <v>1112</v>
      </c>
      <c r="I409" t="s">
        <v>114</v>
      </c>
      <c r="J409" t="s">
        <v>1113</v>
      </c>
      <c r="K409" t="s">
        <v>1121</v>
      </c>
      <c r="L409" t="s">
        <v>1393</v>
      </c>
      <c r="M409">
        <v>2</v>
      </c>
      <c r="N409">
        <v>1</v>
      </c>
      <c r="O409" t="s">
        <v>1122</v>
      </c>
      <c r="P409" t="s">
        <v>40</v>
      </c>
      <c r="Q409" t="s">
        <v>53</v>
      </c>
      <c r="R409" t="s">
        <v>1094</v>
      </c>
      <c r="S409" t="s">
        <v>1115</v>
      </c>
      <c r="T409" t="s">
        <v>837</v>
      </c>
      <c r="U409" t="s">
        <v>118</v>
      </c>
      <c r="V409" t="s">
        <v>43</v>
      </c>
      <c r="W409" t="s">
        <v>43</v>
      </c>
      <c r="Y409" t="s">
        <v>43</v>
      </c>
      <c r="Z409" t="s">
        <v>45</v>
      </c>
      <c r="AA409" t="s">
        <v>477</v>
      </c>
      <c r="AB409" t="s">
        <v>43</v>
      </c>
      <c r="AC409" t="s">
        <v>43</v>
      </c>
      <c r="AD409" t="s">
        <v>43</v>
      </c>
      <c r="AE409" t="s">
        <v>43</v>
      </c>
      <c r="AF409" t="str">
        <f>AA409</f>
        <v>Affaltrach Rasen, Michelbachstr., 74182 Obersulm-Affaltrach</v>
      </c>
      <c r="AG409" t="str">
        <f>TRIM(MID(AF409, FIND(", ", AF409)+2, FIND(", ", AF409, FIND(", ", AF409)+1) - FIND(", ", AF409) - 2))</f>
        <v>Michelbachstr.</v>
      </c>
      <c r="AH409" t="str">
        <f>_xlfn.TEXTBEFORE(_xlfn.TEXTAFTER(AF409, ", ", 2), " ")</f>
        <v>74182</v>
      </c>
      <c r="AI409" t="str">
        <f>_xlfn.TEXTAFTER(_xlfn.TEXTAFTER(AF409, ", ", 2), " ")</f>
        <v>Obersulm-Affaltrach</v>
      </c>
    </row>
    <row r="410" spans="1:35" x14ac:dyDescent="0.2">
      <c r="A410" t="str">
        <f>B410&amp;C410&amp;H410&amp;N410</f>
        <v>35002168TSG HeilbronnE-Junioren1</v>
      </c>
      <c r="B410" t="s">
        <v>349</v>
      </c>
      <c r="C410" t="s">
        <v>350</v>
      </c>
      <c r="D410" t="s">
        <v>34</v>
      </c>
      <c r="E410" t="s">
        <v>35</v>
      </c>
      <c r="F410" t="s">
        <v>36</v>
      </c>
      <c r="G410">
        <v>3</v>
      </c>
      <c r="H410" t="s">
        <v>1112</v>
      </c>
      <c r="I410" t="s">
        <v>114</v>
      </c>
      <c r="J410" t="s">
        <v>1113</v>
      </c>
      <c r="K410" t="s">
        <v>1121</v>
      </c>
      <c r="L410" t="s">
        <v>1393</v>
      </c>
      <c r="M410">
        <v>6</v>
      </c>
      <c r="N410">
        <v>1</v>
      </c>
      <c r="O410" t="s">
        <v>708</v>
      </c>
      <c r="P410" t="s">
        <v>40</v>
      </c>
      <c r="Q410" t="s">
        <v>53</v>
      </c>
      <c r="R410" t="s">
        <v>1094</v>
      </c>
      <c r="S410" t="s">
        <v>1115</v>
      </c>
      <c r="T410" t="s">
        <v>849</v>
      </c>
      <c r="U410" t="s">
        <v>118</v>
      </c>
      <c r="V410" t="s">
        <v>43</v>
      </c>
      <c r="W410" t="s">
        <v>43</v>
      </c>
      <c r="X410" t="s">
        <v>1128</v>
      </c>
      <c r="Y410" s="4" t="s">
        <v>1129</v>
      </c>
      <c r="Z410" t="s">
        <v>45</v>
      </c>
      <c r="AA410" t="s">
        <v>351</v>
      </c>
      <c r="AB410" t="s">
        <v>43</v>
      </c>
      <c r="AC410" t="s">
        <v>43</v>
      </c>
      <c r="AD410" t="s">
        <v>43</v>
      </c>
      <c r="AE410" t="s">
        <v>43</v>
      </c>
      <c r="AF410" t="str">
        <f>AA410</f>
        <v>Wertwiesen (TSG) Rasen 1, Wertwiesen 8, 74081 Heilbronn-Sontheim</v>
      </c>
      <c r="AG410" t="str">
        <f>TRIM(MID(AF410, FIND(", ", AF410)+2, FIND(", ", AF410, FIND(", ", AF410)+1) - FIND(", ", AF410) - 2))</f>
        <v>Wertwiesen 8</v>
      </c>
      <c r="AH410" t="str">
        <f>_xlfn.TEXTBEFORE(_xlfn.TEXTAFTER(AF410, ", ", 2), " ")</f>
        <v>74081</v>
      </c>
      <c r="AI410" t="str">
        <f>_xlfn.TEXTAFTER(_xlfn.TEXTAFTER(AF410, ", ", 2), " ")</f>
        <v>Heilbronn-Sontheim</v>
      </c>
    </row>
    <row r="411" spans="1:35" x14ac:dyDescent="0.2">
      <c r="A411" t="str">
        <f>B411&amp;C411&amp;H411&amp;N411</f>
        <v>35000537TSV HardthausenE-Junioren1</v>
      </c>
      <c r="B411" t="s">
        <v>75</v>
      </c>
      <c r="C411" t="s">
        <v>76</v>
      </c>
      <c r="D411" t="s">
        <v>77</v>
      </c>
      <c r="E411" t="s">
        <v>35</v>
      </c>
      <c r="F411" t="s">
        <v>36</v>
      </c>
      <c r="G411">
        <v>3</v>
      </c>
      <c r="H411" t="s">
        <v>1112</v>
      </c>
      <c r="I411" t="s">
        <v>114</v>
      </c>
      <c r="J411" t="s">
        <v>1113</v>
      </c>
      <c r="K411" t="s">
        <v>1121</v>
      </c>
      <c r="L411" t="s">
        <v>1393</v>
      </c>
      <c r="M411">
        <v>4</v>
      </c>
      <c r="N411">
        <v>1</v>
      </c>
      <c r="O411" t="s">
        <v>1125</v>
      </c>
      <c r="P411" t="s">
        <v>40</v>
      </c>
      <c r="Q411" t="s">
        <v>53</v>
      </c>
      <c r="R411" t="s">
        <v>1094</v>
      </c>
      <c r="S411" t="s">
        <v>910</v>
      </c>
      <c r="T411" t="s">
        <v>841</v>
      </c>
      <c r="U411" t="s">
        <v>118</v>
      </c>
      <c r="V411" t="s">
        <v>43</v>
      </c>
      <c r="W411" t="s">
        <v>43</v>
      </c>
      <c r="Y411" t="s">
        <v>1126</v>
      </c>
      <c r="Z411" t="s">
        <v>45</v>
      </c>
      <c r="AA411" t="s">
        <v>546</v>
      </c>
      <c r="AB411" t="s">
        <v>43</v>
      </c>
      <c r="AC411" t="s">
        <v>43</v>
      </c>
      <c r="AD411" t="s">
        <v>43</v>
      </c>
      <c r="AE411" t="s">
        <v>43</v>
      </c>
      <c r="AF411" t="str">
        <f>AA411</f>
        <v>Brettach Rasen 1, Cleversulzbacher Str., 74243 Langenbrettach-Brettach</v>
      </c>
      <c r="AG411" t="str">
        <f>TRIM(MID(AF411, FIND(", ", AF411)+2, FIND(", ", AF411, FIND(", ", AF411)+1) - FIND(", ", AF411) - 2))</f>
        <v>Cleversulzbacher Str.</v>
      </c>
      <c r="AH411" t="str">
        <f>_xlfn.TEXTBEFORE(_xlfn.TEXTAFTER(AF411, ", ", 2), " ")</f>
        <v>74243</v>
      </c>
      <c r="AI411" t="str">
        <f>_xlfn.TEXTAFTER(_xlfn.TEXTAFTER(AF411, ", ", 2), " ")</f>
        <v>Langenbrettach-Brettach</v>
      </c>
    </row>
    <row r="412" spans="1:35" x14ac:dyDescent="0.2">
      <c r="A412" t="str">
        <f>B412&amp;C412&amp;H412&amp;N412</f>
        <v>35002099FSV Friedrichshaller SV 1898E-Junioren1</v>
      </c>
      <c r="B412" t="s">
        <v>338</v>
      </c>
      <c r="C412" t="s">
        <v>339</v>
      </c>
      <c r="D412" t="s">
        <v>77</v>
      </c>
      <c r="E412" t="s">
        <v>35</v>
      </c>
      <c r="F412" t="s">
        <v>36</v>
      </c>
      <c r="G412">
        <v>3</v>
      </c>
      <c r="H412" t="s">
        <v>1112</v>
      </c>
      <c r="I412" t="s">
        <v>114</v>
      </c>
      <c r="J412" t="s">
        <v>1113</v>
      </c>
      <c r="K412" t="s">
        <v>1121</v>
      </c>
      <c r="L412" t="s">
        <v>1393</v>
      </c>
      <c r="M412">
        <v>1</v>
      </c>
      <c r="N412">
        <v>1</v>
      </c>
      <c r="O412" t="s">
        <v>373</v>
      </c>
      <c r="P412" t="s">
        <v>40</v>
      </c>
      <c r="Q412" t="s">
        <v>53</v>
      </c>
      <c r="R412" t="s">
        <v>1094</v>
      </c>
      <c r="S412" t="s">
        <v>1115</v>
      </c>
      <c r="T412" t="s">
        <v>849</v>
      </c>
      <c r="U412" t="s">
        <v>118</v>
      </c>
      <c r="V412" t="s">
        <v>43</v>
      </c>
      <c r="W412" t="s">
        <v>43</v>
      </c>
      <c r="Y412" t="s">
        <v>43</v>
      </c>
      <c r="Z412" t="s">
        <v>45</v>
      </c>
      <c r="AA412" t="s">
        <v>1123</v>
      </c>
      <c r="AB412" t="s">
        <v>43</v>
      </c>
      <c r="AC412" t="s">
        <v>43</v>
      </c>
      <c r="AD412" t="s">
        <v>43</v>
      </c>
      <c r="AE412" t="s">
        <v>43</v>
      </c>
      <c r="AF412" t="str">
        <f>AA412</f>
        <v>Hagenbach Rasen, Ohrnberger Str. 4, 74177 Bad Friedrichshall-Hagenbach</v>
      </c>
      <c r="AG412" t="str">
        <f>TRIM(MID(AF412, FIND(", ", AF412)+2, FIND(", ", AF412, FIND(", ", AF412)+1) - FIND(", ", AF412) - 2))</f>
        <v>Ohrnberger Str. 4</v>
      </c>
      <c r="AH412" t="str">
        <f>_xlfn.TEXTBEFORE(_xlfn.TEXTAFTER(AF412, ", ", 2), " ")</f>
        <v>74177</v>
      </c>
      <c r="AI412" t="str">
        <f>_xlfn.TEXTAFTER(_xlfn.TEXTAFTER(AF412, ", ", 2), " ")</f>
        <v>Bad Friedrichshall-Hagenbach</v>
      </c>
    </row>
    <row r="413" spans="1:35" x14ac:dyDescent="0.2">
      <c r="A413" t="str">
        <f>B413&amp;C413&amp;H413&amp;N413</f>
        <v>35000905Neckarsulmer Sport-UnionE-Junioren1</v>
      </c>
      <c r="B413" t="s">
        <v>97</v>
      </c>
      <c r="C413" t="s">
        <v>98</v>
      </c>
      <c r="D413" t="s">
        <v>34</v>
      </c>
      <c r="E413" t="s">
        <v>35</v>
      </c>
      <c r="F413" t="s">
        <v>36</v>
      </c>
      <c r="G413">
        <v>3</v>
      </c>
      <c r="H413" t="s">
        <v>1112</v>
      </c>
      <c r="I413" t="s">
        <v>114</v>
      </c>
      <c r="J413" t="s">
        <v>1113</v>
      </c>
      <c r="K413" t="s">
        <v>1130</v>
      </c>
      <c r="L413" t="s">
        <v>1394</v>
      </c>
      <c r="M413">
        <v>3</v>
      </c>
      <c r="N413">
        <v>1</v>
      </c>
      <c r="O413" t="s">
        <v>621</v>
      </c>
      <c r="P413" t="s">
        <v>40</v>
      </c>
      <c r="Q413" t="s">
        <v>40</v>
      </c>
      <c r="R413" t="s">
        <v>1094</v>
      </c>
      <c r="S413" t="s">
        <v>1115</v>
      </c>
      <c r="T413" t="s">
        <v>837</v>
      </c>
      <c r="U413" t="s">
        <v>118</v>
      </c>
      <c r="V413" t="s">
        <v>43</v>
      </c>
      <c r="W413" t="s">
        <v>43</v>
      </c>
      <c r="Y413" t="s">
        <v>43</v>
      </c>
      <c r="Z413" t="s">
        <v>45</v>
      </c>
      <c r="AA413" t="s">
        <v>1136</v>
      </c>
      <c r="AB413" t="s">
        <v>43</v>
      </c>
      <c r="AC413" t="s">
        <v>43</v>
      </c>
      <c r="AD413" t="s">
        <v>43</v>
      </c>
      <c r="AE413" t="s">
        <v>43</v>
      </c>
      <c r="AF413" t="str">
        <f>AA413</f>
        <v>Neckarsulm Pichterich Kunstrasen (Kleinfeld), Pichterichstr. 71, 74172 Neckarsulm</v>
      </c>
      <c r="AG413" t="str">
        <f>TRIM(MID(AF413, FIND(", ", AF413)+2, FIND(", ", AF413, FIND(", ", AF413)+1) - FIND(", ", AF413) - 2))</f>
        <v>Pichterichstr. 71</v>
      </c>
      <c r="AH413" t="str">
        <f>_xlfn.TEXTBEFORE(_xlfn.TEXTAFTER(AF413, ", ", 2), " ")</f>
        <v>74172</v>
      </c>
      <c r="AI413" t="str">
        <f>_xlfn.TEXTAFTER(_xlfn.TEXTAFTER(AF413, ", ", 2), " ")</f>
        <v>Neckarsulm</v>
      </c>
    </row>
    <row r="414" spans="1:35" x14ac:dyDescent="0.2">
      <c r="A414" t="str">
        <f>B414&amp;C414&amp;H414&amp;N414</f>
        <v>35002198FC Union HeilbronnE-Junioren2</v>
      </c>
      <c r="B414" t="s">
        <v>85</v>
      </c>
      <c r="C414" t="s">
        <v>86</v>
      </c>
      <c r="D414" t="s">
        <v>34</v>
      </c>
      <c r="E414" t="s">
        <v>35</v>
      </c>
      <c r="F414" t="s">
        <v>36</v>
      </c>
      <c r="G414">
        <v>3</v>
      </c>
      <c r="H414" t="s">
        <v>1112</v>
      </c>
      <c r="I414" t="s">
        <v>114</v>
      </c>
      <c r="J414" t="s">
        <v>1113</v>
      </c>
      <c r="K414" t="s">
        <v>1130</v>
      </c>
      <c r="L414" t="s">
        <v>1394</v>
      </c>
      <c r="M414">
        <v>1</v>
      </c>
      <c r="N414">
        <v>2</v>
      </c>
      <c r="O414" t="s">
        <v>591</v>
      </c>
      <c r="P414" t="s">
        <v>40</v>
      </c>
      <c r="Q414" t="s">
        <v>40</v>
      </c>
      <c r="R414" t="s">
        <v>1094</v>
      </c>
      <c r="S414" t="s">
        <v>1115</v>
      </c>
      <c r="T414" t="s">
        <v>849</v>
      </c>
      <c r="U414" t="s">
        <v>118</v>
      </c>
      <c r="V414" t="s">
        <v>43</v>
      </c>
      <c r="W414" t="s">
        <v>43</v>
      </c>
      <c r="Y414" t="s">
        <v>1135</v>
      </c>
      <c r="Z414" t="s">
        <v>45</v>
      </c>
      <c r="AA414" t="s">
        <v>89</v>
      </c>
      <c r="AB414" t="s">
        <v>43</v>
      </c>
      <c r="AC414" t="s">
        <v>43</v>
      </c>
      <c r="AD414" t="s">
        <v>43</v>
      </c>
      <c r="AE414" t="s">
        <v>43</v>
      </c>
      <c r="AF414" t="str">
        <f>AA414</f>
        <v>Böckingen (SC) Kunstrasen, Viehweide 5, 74080 Heilbronn-Böckingen</v>
      </c>
      <c r="AG414" t="str">
        <f>TRIM(MID(AF414, FIND(", ", AF414)+2, FIND(", ", AF414, FIND(", ", AF414)+1) - FIND(", ", AF414) - 2))</f>
        <v>Viehweide 5</v>
      </c>
      <c r="AH414" t="str">
        <f>_xlfn.TEXTBEFORE(_xlfn.TEXTAFTER(AF414, ", ", 2), " ")</f>
        <v>74080</v>
      </c>
      <c r="AI414" t="str">
        <f>_xlfn.TEXTAFTER(_xlfn.TEXTAFTER(AF414, ", ", 2), " ")</f>
        <v>Heilbronn-Böckingen</v>
      </c>
    </row>
    <row r="415" spans="1:35" x14ac:dyDescent="0.2">
      <c r="A415" t="str">
        <f>B415&amp;C415&amp;H415&amp;N415</f>
        <v>35000578TSV HeinsheimE-Junioren1</v>
      </c>
      <c r="B415" t="s">
        <v>685</v>
      </c>
      <c r="C415" t="s">
        <v>686</v>
      </c>
      <c r="D415" t="s">
        <v>77</v>
      </c>
      <c r="E415" t="s">
        <v>35</v>
      </c>
      <c r="F415" t="s">
        <v>36</v>
      </c>
      <c r="G415">
        <v>3</v>
      </c>
      <c r="H415" t="s">
        <v>1112</v>
      </c>
      <c r="I415" t="s">
        <v>114</v>
      </c>
      <c r="J415" t="s">
        <v>1113</v>
      </c>
      <c r="K415" t="s">
        <v>1130</v>
      </c>
      <c r="L415" t="s">
        <v>1394</v>
      </c>
      <c r="M415">
        <v>2</v>
      </c>
      <c r="N415">
        <v>1</v>
      </c>
      <c r="O415" t="s">
        <v>686</v>
      </c>
      <c r="P415" t="s">
        <v>40</v>
      </c>
      <c r="Q415" t="s">
        <v>53</v>
      </c>
      <c r="R415" t="s">
        <v>1094</v>
      </c>
      <c r="S415" t="s">
        <v>1115</v>
      </c>
      <c r="T415" t="s">
        <v>837</v>
      </c>
      <c r="U415" t="s">
        <v>118</v>
      </c>
      <c r="V415" t="s">
        <v>43</v>
      </c>
      <c r="W415" t="s">
        <v>43</v>
      </c>
      <c r="Y415" t="s">
        <v>43</v>
      </c>
      <c r="Z415" t="s">
        <v>45</v>
      </c>
      <c r="AA415" t="s">
        <v>688</v>
      </c>
      <c r="AB415" t="s">
        <v>43</v>
      </c>
      <c r="AC415" t="s">
        <v>43</v>
      </c>
      <c r="AD415" t="s">
        <v>43</v>
      </c>
      <c r="AE415" t="s">
        <v>43</v>
      </c>
      <c r="AF415" t="str">
        <f>AA415</f>
        <v>Heinsheim Rasen, Neckarstr. 1, 74906 Bad Rappenau-Heinsheim</v>
      </c>
      <c r="AG415" t="str">
        <f>TRIM(MID(AF415, FIND(", ", AF415)+2, FIND(", ", AF415, FIND(", ", AF415)+1) - FIND(", ", AF415) - 2))</f>
        <v>Neckarstr. 1</v>
      </c>
      <c r="AH415" t="str">
        <f>_xlfn.TEXTBEFORE(_xlfn.TEXTAFTER(AF415, ", ", 2), " ")</f>
        <v>74906</v>
      </c>
      <c r="AI415" t="str">
        <f>_xlfn.TEXTAFTER(_xlfn.TEXTAFTER(AF415, ", ", 2), " ")</f>
        <v>Bad Rappenau-Heinsheim</v>
      </c>
    </row>
    <row r="416" spans="1:35" x14ac:dyDescent="0.2">
      <c r="A416" t="str">
        <f>B416&amp;C416&amp;H416&amp;N416</f>
        <v>35000865Spvgg MöckmühlE-Junioren1</v>
      </c>
      <c r="B416" t="s">
        <v>639</v>
      </c>
      <c r="C416" t="s">
        <v>640</v>
      </c>
      <c r="D416" t="s">
        <v>77</v>
      </c>
      <c r="E416" t="s">
        <v>35</v>
      </c>
      <c r="F416" t="s">
        <v>36</v>
      </c>
      <c r="G416">
        <v>3</v>
      </c>
      <c r="H416" t="s">
        <v>1112</v>
      </c>
      <c r="I416" t="s">
        <v>114</v>
      </c>
      <c r="J416" t="s">
        <v>1113</v>
      </c>
      <c r="K416" t="s">
        <v>1130</v>
      </c>
      <c r="L416" t="s">
        <v>1394</v>
      </c>
      <c r="M416">
        <v>7</v>
      </c>
      <c r="N416">
        <v>1</v>
      </c>
      <c r="O416" t="s">
        <v>934</v>
      </c>
      <c r="P416" t="s">
        <v>40</v>
      </c>
      <c r="Q416" t="s">
        <v>53</v>
      </c>
      <c r="R416" t="s">
        <v>1094</v>
      </c>
      <c r="S416" t="s">
        <v>1115</v>
      </c>
      <c r="T416" t="s">
        <v>837</v>
      </c>
      <c r="U416" t="s">
        <v>118</v>
      </c>
      <c r="V416" t="s">
        <v>43</v>
      </c>
      <c r="W416" t="s">
        <v>43</v>
      </c>
      <c r="Y416" t="s">
        <v>43</v>
      </c>
      <c r="Z416" t="s">
        <v>45</v>
      </c>
      <c r="AA416" t="s">
        <v>642</v>
      </c>
      <c r="AB416" t="s">
        <v>43</v>
      </c>
      <c r="AC416" t="s">
        <v>43</v>
      </c>
      <c r="AD416" t="s">
        <v>43</v>
      </c>
      <c r="AE416" t="s">
        <v>43</v>
      </c>
      <c r="AF416" t="str">
        <f>AA416</f>
        <v>Möckmühl Rasen 1, Züttlinger Str. 1, 74219 Möckmühl</v>
      </c>
      <c r="AG416" t="str">
        <f>TRIM(MID(AF416, FIND(", ", AF416)+2, FIND(", ", AF416, FIND(", ", AF416)+1) - FIND(", ", AF416) - 2))</f>
        <v>Züttlinger Str. 1</v>
      </c>
      <c r="AH416" t="str">
        <f>_xlfn.TEXTBEFORE(_xlfn.TEXTAFTER(AF416, ", ", 2), " ")</f>
        <v>74219</v>
      </c>
      <c r="AI416" t="str">
        <f>_xlfn.TEXTAFTER(_xlfn.TEXTAFTER(AF416, ", ", 2), " ")</f>
        <v>Möckmühl</v>
      </c>
    </row>
    <row r="417" spans="1:35" x14ac:dyDescent="0.2">
      <c r="A417" t="str">
        <f>B417&amp;C417&amp;H417&amp;N417</f>
        <v>35000904SC Neckarsulm-AmorbachE-Junioren2</v>
      </c>
      <c r="B417" t="s">
        <v>112</v>
      </c>
      <c r="C417" t="s">
        <v>113</v>
      </c>
      <c r="D417" t="s">
        <v>77</v>
      </c>
      <c r="E417" t="s">
        <v>35</v>
      </c>
      <c r="F417" t="s">
        <v>36</v>
      </c>
      <c r="G417">
        <v>3</v>
      </c>
      <c r="H417" t="s">
        <v>1112</v>
      </c>
      <c r="I417" t="s">
        <v>114</v>
      </c>
      <c r="J417" t="s">
        <v>1113</v>
      </c>
      <c r="K417" t="s">
        <v>1130</v>
      </c>
      <c r="L417" t="s">
        <v>1394</v>
      </c>
      <c r="M417">
        <v>8</v>
      </c>
      <c r="N417">
        <v>2</v>
      </c>
      <c r="O417" t="s">
        <v>740</v>
      </c>
      <c r="P417" t="s">
        <v>40</v>
      </c>
      <c r="Q417" t="s">
        <v>40</v>
      </c>
      <c r="R417" t="s">
        <v>1094</v>
      </c>
      <c r="S417" t="s">
        <v>910</v>
      </c>
      <c r="T417" t="s">
        <v>849</v>
      </c>
      <c r="U417" t="s">
        <v>118</v>
      </c>
      <c r="V417" t="s">
        <v>43</v>
      </c>
      <c r="W417" t="s">
        <v>43</v>
      </c>
      <c r="Y417" t="s">
        <v>1131</v>
      </c>
      <c r="Z417" t="s">
        <v>45</v>
      </c>
      <c r="AA417" t="s">
        <v>119</v>
      </c>
      <c r="AB417" t="s">
        <v>43</v>
      </c>
      <c r="AC417" t="s">
        <v>43</v>
      </c>
      <c r="AD417" t="s">
        <v>43</v>
      </c>
      <c r="AE417" t="s">
        <v>43</v>
      </c>
      <c r="AF417" t="str">
        <f>AA417</f>
        <v>Amorbach Kunstrasen, Schwabenweg 25, 74172 Neckarsulm-Amorbach</v>
      </c>
      <c r="AG417" t="str">
        <f>TRIM(MID(AF417, FIND(", ", AF417)+2, FIND(", ", AF417, FIND(", ", AF417)+1) - FIND(", ", AF417) - 2))</f>
        <v>Schwabenweg 25</v>
      </c>
      <c r="AH417" t="str">
        <f>_xlfn.TEXTBEFORE(_xlfn.TEXTAFTER(AF417, ", ", 2), " ")</f>
        <v>74172</v>
      </c>
      <c r="AI417" t="str">
        <f>_xlfn.TEXTAFTER(_xlfn.TEXTAFTER(AF417, ", ", 2), " ")</f>
        <v>Neckarsulm-Amorbach</v>
      </c>
    </row>
    <row r="418" spans="1:35" x14ac:dyDescent="0.2">
      <c r="A418" t="str">
        <f>B418&amp;C418&amp;H418&amp;N418</f>
        <v>35000921TSV NeudenauE-Junioren1</v>
      </c>
      <c r="B418" t="s">
        <v>453</v>
      </c>
      <c r="C418" t="s">
        <v>454</v>
      </c>
      <c r="D418" t="s">
        <v>77</v>
      </c>
      <c r="E418" t="s">
        <v>35</v>
      </c>
      <c r="F418" t="s">
        <v>36</v>
      </c>
      <c r="G418">
        <v>3</v>
      </c>
      <c r="H418" t="s">
        <v>1112</v>
      </c>
      <c r="I418" t="s">
        <v>114</v>
      </c>
      <c r="J418" t="s">
        <v>1113</v>
      </c>
      <c r="K418" t="s">
        <v>1130</v>
      </c>
      <c r="L418" t="s">
        <v>1394</v>
      </c>
      <c r="M418">
        <v>4</v>
      </c>
      <c r="N418">
        <v>1</v>
      </c>
      <c r="O418" t="s">
        <v>1132</v>
      </c>
      <c r="P418" t="s">
        <v>40</v>
      </c>
      <c r="Q418" t="s">
        <v>53</v>
      </c>
      <c r="R418" t="s">
        <v>1094</v>
      </c>
      <c r="S418" t="s">
        <v>1115</v>
      </c>
      <c r="T418" t="s">
        <v>837</v>
      </c>
      <c r="U418" t="s">
        <v>118</v>
      </c>
      <c r="V418" t="s">
        <v>43</v>
      </c>
      <c r="W418" t="s">
        <v>43</v>
      </c>
      <c r="X418" t="s">
        <v>1133</v>
      </c>
      <c r="Y418" s="4" t="s">
        <v>1134</v>
      </c>
      <c r="Z418" t="s">
        <v>45</v>
      </c>
      <c r="AA418" t="s">
        <v>977</v>
      </c>
      <c r="AB418" t="s">
        <v>43</v>
      </c>
      <c r="AC418" t="s">
        <v>43</v>
      </c>
      <c r="AD418" t="s">
        <v>43</v>
      </c>
      <c r="AE418" t="s">
        <v>43</v>
      </c>
      <c r="AF418" t="str">
        <f>AA418</f>
        <v>Neudenau Rasen 1, Siglinger Str., 74861 Neudenau-Zentrum</v>
      </c>
      <c r="AG418" t="str">
        <f>TRIM(MID(AF418, FIND(", ", AF418)+2, FIND(", ", AF418, FIND(", ", AF418)+1) - FIND(", ", AF418) - 2))</f>
        <v>Siglinger Str.</v>
      </c>
      <c r="AH418" t="str">
        <f>_xlfn.TEXTBEFORE(_xlfn.TEXTAFTER(AF418, ", ", 2), " ")</f>
        <v>74861</v>
      </c>
      <c r="AI418" t="str">
        <f>_xlfn.TEXTAFTER(_xlfn.TEXTAFTER(AF418, ", ", 2), " ")</f>
        <v>Neudenau-Zentrum</v>
      </c>
    </row>
    <row r="419" spans="1:35" x14ac:dyDescent="0.2">
      <c r="A419" t="str">
        <f>B419&amp;C419&amp;H419&amp;N419</f>
        <v>35001000Spvgg OedheimE-Junioren1</v>
      </c>
      <c r="B419" t="s">
        <v>381</v>
      </c>
      <c r="C419" t="s">
        <v>382</v>
      </c>
      <c r="D419" t="s">
        <v>77</v>
      </c>
      <c r="E419" t="s">
        <v>35</v>
      </c>
      <c r="F419" t="s">
        <v>36</v>
      </c>
      <c r="G419">
        <v>3</v>
      </c>
      <c r="H419" t="s">
        <v>1112</v>
      </c>
      <c r="I419" t="s">
        <v>114</v>
      </c>
      <c r="J419" t="s">
        <v>1113</v>
      </c>
      <c r="K419" t="s">
        <v>1130</v>
      </c>
      <c r="L419" t="s">
        <v>1394</v>
      </c>
      <c r="M419">
        <v>5</v>
      </c>
      <c r="N419">
        <v>1</v>
      </c>
      <c r="O419" t="s">
        <v>1137</v>
      </c>
      <c r="P419" t="s">
        <v>40</v>
      </c>
      <c r="Q419" t="s">
        <v>53</v>
      </c>
      <c r="R419" t="s">
        <v>1094</v>
      </c>
      <c r="S419" t="s">
        <v>1115</v>
      </c>
      <c r="T419" t="s">
        <v>837</v>
      </c>
      <c r="U419" t="s">
        <v>118</v>
      </c>
      <c r="V419" t="s">
        <v>43</v>
      </c>
      <c r="W419" t="s">
        <v>43</v>
      </c>
      <c r="Y419" t="s">
        <v>1138</v>
      </c>
      <c r="Z419" t="s">
        <v>45</v>
      </c>
      <c r="AA419" t="s">
        <v>857</v>
      </c>
      <c r="AB419" t="s">
        <v>43</v>
      </c>
      <c r="AC419" t="s">
        <v>43</v>
      </c>
      <c r="AD419" t="s">
        <v>43</v>
      </c>
      <c r="AE419" t="s">
        <v>43</v>
      </c>
      <c r="AF419" t="str">
        <f>AA419</f>
        <v>Oedheim Kunstrasen, Mörikestr. 37, 74229 Oedheim</v>
      </c>
      <c r="AG419" t="str">
        <f>TRIM(MID(AF419, FIND(", ", AF419)+2, FIND(", ", AF419, FIND(", ", AF419)+1) - FIND(", ", AF419) - 2))</f>
        <v>Mörikestr. 37</v>
      </c>
      <c r="AH419" t="str">
        <f>_xlfn.TEXTBEFORE(_xlfn.TEXTAFTER(AF419, ", ", 2), " ")</f>
        <v>74229</v>
      </c>
      <c r="AI419" t="str">
        <f>_xlfn.TEXTAFTER(_xlfn.TEXTAFTER(AF419, ", ", 2), " ")</f>
        <v>Oedheim</v>
      </c>
    </row>
    <row r="420" spans="1:35" x14ac:dyDescent="0.2">
      <c r="A420" t="str">
        <f>B420&amp;C420&amp;H420&amp;N420</f>
        <v>35001011TG OffenauE-Junioren1</v>
      </c>
      <c r="B420" t="s">
        <v>1139</v>
      </c>
      <c r="C420" t="s">
        <v>1140</v>
      </c>
      <c r="D420" t="s">
        <v>77</v>
      </c>
      <c r="E420" t="s">
        <v>35</v>
      </c>
      <c r="F420" t="s">
        <v>36</v>
      </c>
      <c r="G420">
        <v>3</v>
      </c>
      <c r="H420" t="s">
        <v>1112</v>
      </c>
      <c r="I420" t="s">
        <v>114</v>
      </c>
      <c r="J420" t="s">
        <v>1113</v>
      </c>
      <c r="K420" t="s">
        <v>1130</v>
      </c>
      <c r="L420" t="s">
        <v>1394</v>
      </c>
      <c r="M420">
        <v>6</v>
      </c>
      <c r="N420">
        <v>1</v>
      </c>
      <c r="O420" t="s">
        <v>1141</v>
      </c>
      <c r="P420" t="s">
        <v>40</v>
      </c>
      <c r="Q420" t="s">
        <v>53</v>
      </c>
      <c r="R420" t="s">
        <v>1094</v>
      </c>
      <c r="S420" t="s">
        <v>1115</v>
      </c>
      <c r="T420" t="s">
        <v>837</v>
      </c>
      <c r="U420" t="s">
        <v>118</v>
      </c>
      <c r="V420" t="s">
        <v>43</v>
      </c>
      <c r="W420" t="s">
        <v>43</v>
      </c>
      <c r="Y420" t="s">
        <v>43</v>
      </c>
      <c r="Z420" t="s">
        <v>45</v>
      </c>
      <c r="AA420" t="s">
        <v>1142</v>
      </c>
      <c r="AB420" t="s">
        <v>43</v>
      </c>
      <c r="AC420" t="s">
        <v>43</v>
      </c>
      <c r="AD420" t="s">
        <v>43</v>
      </c>
      <c r="AE420" t="s">
        <v>43</v>
      </c>
      <c r="AF420" t="str">
        <f>AA420</f>
        <v>Offenau Rasen 1, Mühlweg, 74254 Offenau-Zentrum</v>
      </c>
      <c r="AG420" t="str">
        <f>TRIM(MID(AF420, FIND(", ", AF420)+2, FIND(", ", AF420, FIND(", ", AF420)+1) - FIND(", ", AF420) - 2))</f>
        <v>Mühlweg</v>
      </c>
      <c r="AH420" t="str">
        <f>_xlfn.TEXTBEFORE(_xlfn.TEXTAFTER(AF420, ", ", 2), " ")</f>
        <v>74254</v>
      </c>
      <c r="AI420" t="str">
        <f>_xlfn.TEXTAFTER(_xlfn.TEXTAFTER(AF420, ", ", 2), " ")</f>
        <v>Offenau-Zentrum</v>
      </c>
    </row>
    <row r="421" spans="1:35" x14ac:dyDescent="0.2">
      <c r="A421" t="str">
        <f>B421&amp;C421&amp;H421&amp;N421</f>
        <v>35000311VfL EberstadtE-Junioren1</v>
      </c>
      <c r="B421" t="s">
        <v>458</v>
      </c>
      <c r="C421" t="s">
        <v>459</v>
      </c>
      <c r="D421" t="s">
        <v>34</v>
      </c>
      <c r="E421" t="s">
        <v>35</v>
      </c>
      <c r="F421" t="s">
        <v>36</v>
      </c>
      <c r="G421">
        <v>3</v>
      </c>
      <c r="H421" t="s">
        <v>1112</v>
      </c>
      <c r="I421" t="s">
        <v>114</v>
      </c>
      <c r="J421" t="s">
        <v>1113</v>
      </c>
      <c r="K421" t="s">
        <v>1143</v>
      </c>
      <c r="L421" t="s">
        <v>1395</v>
      </c>
      <c r="M421">
        <v>1</v>
      </c>
      <c r="N421">
        <v>1</v>
      </c>
      <c r="O421" t="s">
        <v>1149</v>
      </c>
      <c r="P421" t="s">
        <v>40</v>
      </c>
      <c r="Q421" t="s">
        <v>53</v>
      </c>
      <c r="R421" t="s">
        <v>1094</v>
      </c>
      <c r="S421" t="s">
        <v>1115</v>
      </c>
      <c r="T421" t="s">
        <v>837</v>
      </c>
      <c r="U421" t="s">
        <v>118</v>
      </c>
      <c r="V421" t="s">
        <v>43</v>
      </c>
      <c r="W421" t="s">
        <v>43</v>
      </c>
      <c r="Y421" t="s">
        <v>43</v>
      </c>
      <c r="Z421" t="s">
        <v>45</v>
      </c>
      <c r="AA421" t="s">
        <v>461</v>
      </c>
      <c r="AB421" t="s">
        <v>43</v>
      </c>
      <c r="AC421" t="s">
        <v>43</v>
      </c>
      <c r="AD421" t="s">
        <v>43</v>
      </c>
      <c r="AE421" t="s">
        <v>43</v>
      </c>
      <c r="AF421" t="str">
        <f>AA421</f>
        <v>Eberstadt Rasen 1, Am Schmalbach, 74246 Eberstadt</v>
      </c>
      <c r="AG421" t="str">
        <f>TRIM(MID(AF421, FIND(", ", AF421)+2, FIND(", ", AF421, FIND(", ", AF421)+1) - FIND(", ", AF421) - 2))</f>
        <v>Am Schmalbach</v>
      </c>
      <c r="AH421" t="str">
        <f>_xlfn.TEXTBEFORE(_xlfn.TEXTAFTER(AF421, ", ", 2), " ")</f>
        <v>74246</v>
      </c>
      <c r="AI421" t="str">
        <f>_xlfn.TEXTAFTER(_xlfn.TEXTAFTER(AF421, ", ", 2), " ")</f>
        <v>Eberstadt</v>
      </c>
    </row>
    <row r="422" spans="1:35" x14ac:dyDescent="0.2">
      <c r="A422" t="str">
        <f>B422&amp;C422&amp;H422&amp;N422</f>
        <v>35000667SC IlsfeldE-Junioren1</v>
      </c>
      <c r="B422" t="s">
        <v>634</v>
      </c>
      <c r="C422" t="s">
        <v>635</v>
      </c>
      <c r="D422" t="s">
        <v>34</v>
      </c>
      <c r="E422" t="s">
        <v>35</v>
      </c>
      <c r="F422" t="s">
        <v>36</v>
      </c>
      <c r="G422">
        <v>3</v>
      </c>
      <c r="H422" t="s">
        <v>1112</v>
      </c>
      <c r="I422" t="s">
        <v>114</v>
      </c>
      <c r="J422" t="s">
        <v>1113</v>
      </c>
      <c r="K422" t="s">
        <v>1143</v>
      </c>
      <c r="L422" t="s">
        <v>1395</v>
      </c>
      <c r="M422">
        <v>5</v>
      </c>
      <c r="N422">
        <v>1</v>
      </c>
      <c r="O422" t="s">
        <v>1147</v>
      </c>
      <c r="P422" t="s">
        <v>40</v>
      </c>
      <c r="Q422" t="s">
        <v>53</v>
      </c>
      <c r="R422" t="s">
        <v>1094</v>
      </c>
      <c r="S422" t="s">
        <v>1115</v>
      </c>
      <c r="T422" t="s">
        <v>837</v>
      </c>
      <c r="U422" t="s">
        <v>118</v>
      </c>
      <c r="V422" t="s">
        <v>43</v>
      </c>
      <c r="W422" t="s">
        <v>43</v>
      </c>
      <c r="X422" t="s">
        <v>1118</v>
      </c>
      <c r="Y422" s="4" t="s">
        <v>1148</v>
      </c>
      <c r="Z422" t="s">
        <v>45</v>
      </c>
      <c r="AA422" t="s">
        <v>855</v>
      </c>
      <c r="AB422" t="s">
        <v>43</v>
      </c>
      <c r="AC422" t="s">
        <v>43</v>
      </c>
      <c r="AD422" t="s">
        <v>43</v>
      </c>
      <c r="AE422" t="s">
        <v>43</v>
      </c>
      <c r="AF422" t="str">
        <f>AA422</f>
        <v>Ilsfeld Rasen 1, Brückenstr. 28, 74360 Ilsfeld</v>
      </c>
      <c r="AG422" t="str">
        <f>TRIM(MID(AF422, FIND(", ", AF422)+2, FIND(", ", AF422, FIND(", ", AF422)+1) - FIND(", ", AF422) - 2))</f>
        <v>Brückenstr. 28</v>
      </c>
      <c r="AH422" t="str">
        <f>_xlfn.TEXTBEFORE(_xlfn.TEXTAFTER(AF422, ", ", 2), " ")</f>
        <v>74360</v>
      </c>
      <c r="AI422" t="str">
        <f>_xlfn.TEXTAFTER(_xlfn.TEXTAFTER(AF422, ", ", 2), " ")</f>
        <v>Ilsfeld</v>
      </c>
    </row>
    <row r="423" spans="1:35" x14ac:dyDescent="0.2">
      <c r="A423" t="str">
        <f>B423&amp;C423&amp;H423&amp;N423</f>
        <v>35000716FC KirchhausenE-Junioren1</v>
      </c>
      <c r="B423" t="s">
        <v>137</v>
      </c>
      <c r="C423" t="s">
        <v>138</v>
      </c>
      <c r="D423" t="s">
        <v>34</v>
      </c>
      <c r="E423" t="s">
        <v>35</v>
      </c>
      <c r="F423" t="s">
        <v>36</v>
      </c>
      <c r="G423">
        <v>3</v>
      </c>
      <c r="H423" t="s">
        <v>1112</v>
      </c>
      <c r="I423" t="s">
        <v>114</v>
      </c>
      <c r="J423" t="s">
        <v>1113</v>
      </c>
      <c r="K423" t="s">
        <v>1143</v>
      </c>
      <c r="L423" t="s">
        <v>1395</v>
      </c>
      <c r="M423">
        <v>7</v>
      </c>
      <c r="N423">
        <v>1</v>
      </c>
      <c r="O423" t="s">
        <v>1145</v>
      </c>
      <c r="P423" t="s">
        <v>40</v>
      </c>
      <c r="Q423" t="s">
        <v>53</v>
      </c>
      <c r="R423" t="s">
        <v>1094</v>
      </c>
      <c r="S423" t="s">
        <v>1115</v>
      </c>
      <c r="T423" t="s">
        <v>837</v>
      </c>
      <c r="U423" t="s">
        <v>118</v>
      </c>
      <c r="V423" t="s">
        <v>43</v>
      </c>
      <c r="W423" t="s">
        <v>43</v>
      </c>
      <c r="Y423" t="s">
        <v>1146</v>
      </c>
      <c r="Z423" t="s">
        <v>45</v>
      </c>
      <c r="AA423" t="s">
        <v>140</v>
      </c>
      <c r="AB423" t="s">
        <v>43</v>
      </c>
      <c r="AC423" t="s">
        <v>43</v>
      </c>
      <c r="AD423" t="s">
        <v>43</v>
      </c>
      <c r="AE423" t="s">
        <v>43</v>
      </c>
      <c r="AF423" t="str">
        <f>AA423</f>
        <v>Kirchhausen Kunstrasenplatz, Steinbrünnleswiesen 1, 74078 Heilbronn-Kirchhausen</v>
      </c>
      <c r="AG423" t="str">
        <f>TRIM(MID(AF423, FIND(", ", AF423)+2, FIND(", ", AF423, FIND(", ", AF423)+1) - FIND(", ", AF423) - 2))</f>
        <v>Steinbrünnleswiesen 1</v>
      </c>
      <c r="AH423" t="str">
        <f>_xlfn.TEXTBEFORE(_xlfn.TEXTAFTER(AF423, ", ", 2), " ")</f>
        <v>74078</v>
      </c>
      <c r="AI423" t="str">
        <f>_xlfn.TEXTAFTER(_xlfn.TEXTAFTER(AF423, ", ", 2), " ")</f>
        <v>Heilbronn-Kirchhausen</v>
      </c>
    </row>
    <row r="424" spans="1:35" x14ac:dyDescent="0.2">
      <c r="A424" t="str">
        <f>B424&amp;C424&amp;H424&amp;N424</f>
        <v>35000765Spfr LauffenE-Junioren1</v>
      </c>
      <c r="B424" t="s">
        <v>390</v>
      </c>
      <c r="C424" t="s">
        <v>391</v>
      </c>
      <c r="D424" t="s">
        <v>34</v>
      </c>
      <c r="E424" t="s">
        <v>35</v>
      </c>
      <c r="F424" t="s">
        <v>36</v>
      </c>
      <c r="G424">
        <v>3</v>
      </c>
      <c r="H424" t="s">
        <v>1112</v>
      </c>
      <c r="I424" t="s">
        <v>114</v>
      </c>
      <c r="J424" t="s">
        <v>1113</v>
      </c>
      <c r="K424" t="s">
        <v>1143</v>
      </c>
      <c r="L424" t="s">
        <v>1395</v>
      </c>
      <c r="M424">
        <v>6</v>
      </c>
      <c r="N424">
        <v>1</v>
      </c>
      <c r="O424" t="s">
        <v>1151</v>
      </c>
      <c r="P424" t="s">
        <v>40</v>
      </c>
      <c r="Q424" t="s">
        <v>53</v>
      </c>
      <c r="R424" t="s">
        <v>1094</v>
      </c>
      <c r="S424" t="s">
        <v>1115</v>
      </c>
      <c r="T424" t="s">
        <v>837</v>
      </c>
      <c r="U424" t="s">
        <v>118</v>
      </c>
      <c r="V424" t="s">
        <v>43</v>
      </c>
      <c r="W424" t="s">
        <v>43</v>
      </c>
      <c r="Y424" t="s">
        <v>43</v>
      </c>
      <c r="Z424" t="s">
        <v>45</v>
      </c>
      <c r="AA424" t="s">
        <v>694</v>
      </c>
      <c r="AB424" t="s">
        <v>43</v>
      </c>
      <c r="AC424" t="s">
        <v>43</v>
      </c>
      <c r="AD424" t="s">
        <v>43</v>
      </c>
      <c r="AE424" t="s">
        <v>43</v>
      </c>
      <c r="AF424" t="str">
        <f>AA424</f>
        <v>Lauffen Rasen 2, Am Forchenwald, 74348 Lauffen am Neckar</v>
      </c>
      <c r="AG424" t="str">
        <f>TRIM(MID(AF424, FIND(", ", AF424)+2, FIND(", ", AF424, FIND(", ", AF424)+1) - FIND(", ", AF424) - 2))</f>
        <v>Am Forchenwald</v>
      </c>
      <c r="AH424" t="str">
        <f>_xlfn.TEXTBEFORE(_xlfn.TEXTAFTER(AF424, ", ", 2), " ")</f>
        <v>74348</v>
      </c>
      <c r="AI424" t="str">
        <f>_xlfn.TEXTAFTER(_xlfn.TEXTAFTER(AF424, ", ", 2), " ")</f>
        <v>Lauffen am Neckar</v>
      </c>
    </row>
    <row r="425" spans="1:35" x14ac:dyDescent="0.2">
      <c r="A425" t="str">
        <f>B425&amp;C425&amp;H425&amp;N425</f>
        <v>35000774TSV LehrensteinsfeldE-Junioren1</v>
      </c>
      <c r="B425" t="s">
        <v>211</v>
      </c>
      <c r="C425" t="s">
        <v>212</v>
      </c>
      <c r="D425" t="s">
        <v>34</v>
      </c>
      <c r="E425" t="s">
        <v>35</v>
      </c>
      <c r="F425" t="s">
        <v>36</v>
      </c>
      <c r="G425">
        <v>3</v>
      </c>
      <c r="H425" t="s">
        <v>1112</v>
      </c>
      <c r="I425" t="s">
        <v>114</v>
      </c>
      <c r="J425" t="s">
        <v>1113</v>
      </c>
      <c r="K425" t="s">
        <v>1143</v>
      </c>
      <c r="L425" t="s">
        <v>1395</v>
      </c>
      <c r="M425">
        <v>8</v>
      </c>
      <c r="N425">
        <v>1</v>
      </c>
      <c r="O425" t="s">
        <v>215</v>
      </c>
      <c r="P425" t="s">
        <v>40</v>
      </c>
      <c r="Q425" t="s">
        <v>53</v>
      </c>
      <c r="R425" t="s">
        <v>1094</v>
      </c>
      <c r="S425" t="s">
        <v>1115</v>
      </c>
      <c r="T425" t="s">
        <v>837</v>
      </c>
      <c r="U425" t="s">
        <v>118</v>
      </c>
      <c r="V425" t="s">
        <v>43</v>
      </c>
      <c r="W425" t="s">
        <v>43</v>
      </c>
      <c r="Y425" t="s">
        <v>43</v>
      </c>
      <c r="Z425" t="s">
        <v>45</v>
      </c>
      <c r="AA425" t="s">
        <v>216</v>
      </c>
      <c r="AB425" t="s">
        <v>43</v>
      </c>
      <c r="AC425" t="s">
        <v>43</v>
      </c>
      <c r="AD425" t="s">
        <v>43</v>
      </c>
      <c r="AE425" t="s">
        <v>43</v>
      </c>
      <c r="AF425" t="str">
        <f>AA425</f>
        <v>Lehrensteinsfeld Rasen, Seestr., 74251 Lehrensteinsfeld-Zentrum</v>
      </c>
      <c r="AG425" t="str">
        <f>TRIM(MID(AF425, FIND(", ", AF425)+2, FIND(", ", AF425, FIND(", ", AF425)+1) - FIND(", ", AF425) - 2))</f>
        <v>Seestr.</v>
      </c>
      <c r="AH425" t="str">
        <f>_xlfn.TEXTBEFORE(_xlfn.TEXTAFTER(AF425, ", ", 2), " ")</f>
        <v>74251</v>
      </c>
      <c r="AI425" t="str">
        <f>_xlfn.TEXTAFTER(_xlfn.TEXTAFTER(AF425, ", ", 2), " ")</f>
        <v>Lehrensteinsfeld-Zentrum</v>
      </c>
    </row>
    <row r="426" spans="1:35" x14ac:dyDescent="0.2">
      <c r="A426" t="str">
        <f>B426&amp;C426&amp;H426&amp;N426</f>
        <v>35001347TSV Talheim (Franken)E-Junioren1</v>
      </c>
      <c r="B426" t="s">
        <v>492</v>
      </c>
      <c r="C426" t="s">
        <v>493</v>
      </c>
      <c r="D426" t="s">
        <v>34</v>
      </c>
      <c r="E426" t="s">
        <v>35</v>
      </c>
      <c r="F426" t="s">
        <v>36</v>
      </c>
      <c r="G426">
        <v>3</v>
      </c>
      <c r="H426" t="s">
        <v>1112</v>
      </c>
      <c r="I426" t="s">
        <v>114</v>
      </c>
      <c r="J426" t="s">
        <v>1113</v>
      </c>
      <c r="K426" t="s">
        <v>1143</v>
      </c>
      <c r="L426" t="s">
        <v>1395</v>
      </c>
      <c r="M426">
        <v>4</v>
      </c>
      <c r="N426">
        <v>1</v>
      </c>
      <c r="O426" t="s">
        <v>1152</v>
      </c>
      <c r="P426" t="s">
        <v>40</v>
      </c>
      <c r="Q426" t="s">
        <v>53</v>
      </c>
      <c r="R426" t="s">
        <v>1094</v>
      </c>
      <c r="S426" t="s">
        <v>1115</v>
      </c>
      <c r="T426" t="s">
        <v>837</v>
      </c>
      <c r="U426" t="s">
        <v>118</v>
      </c>
      <c r="V426" t="s">
        <v>43</v>
      </c>
      <c r="W426" t="s">
        <v>43</v>
      </c>
      <c r="Y426" t="s">
        <v>43</v>
      </c>
      <c r="Z426" t="s">
        <v>45</v>
      </c>
      <c r="AA426" t="s">
        <v>496</v>
      </c>
      <c r="AB426" t="s">
        <v>43</v>
      </c>
      <c r="AC426" t="s">
        <v>43</v>
      </c>
      <c r="AD426" t="s">
        <v>43</v>
      </c>
      <c r="AE426" t="s">
        <v>43</v>
      </c>
      <c r="AF426" t="str">
        <f>AA426</f>
        <v>Talheim Rasen, Sontheimer Str., 74388 Talheim-Zentrum</v>
      </c>
      <c r="AG426" t="str">
        <f>TRIM(MID(AF426, FIND(", ", AF426)+2, FIND(", ", AF426, FIND(", ", AF426)+1) - FIND(", ", AF426) - 2))</f>
        <v>Sontheimer Str.</v>
      </c>
      <c r="AH426" t="str">
        <f>_xlfn.TEXTBEFORE(_xlfn.TEXTAFTER(AF426, ", ", 2), " ")</f>
        <v>74388</v>
      </c>
      <c r="AI426" t="str">
        <f>_xlfn.TEXTAFTER(_xlfn.TEXTAFTER(AF426, ", ", 2), " ")</f>
        <v>Talheim-Zentrum</v>
      </c>
    </row>
    <row r="427" spans="1:35" x14ac:dyDescent="0.2">
      <c r="A427" t="str">
        <f>B427&amp;C427&amp;H427&amp;N427</f>
        <v>35002198FC Union HeilbronnE-Junioren1</v>
      </c>
      <c r="B427" t="s">
        <v>85</v>
      </c>
      <c r="C427" t="s">
        <v>86</v>
      </c>
      <c r="D427" t="s">
        <v>34</v>
      </c>
      <c r="E427" t="s">
        <v>35</v>
      </c>
      <c r="F427" t="s">
        <v>36</v>
      </c>
      <c r="G427">
        <v>3</v>
      </c>
      <c r="H427" t="s">
        <v>1112</v>
      </c>
      <c r="I427" t="s">
        <v>114</v>
      </c>
      <c r="J427" t="s">
        <v>1113</v>
      </c>
      <c r="K427" t="s">
        <v>1143</v>
      </c>
      <c r="L427" t="s">
        <v>1395</v>
      </c>
      <c r="M427">
        <v>2</v>
      </c>
      <c r="N427">
        <v>1</v>
      </c>
      <c r="O427" t="s">
        <v>359</v>
      </c>
      <c r="P427" t="s">
        <v>40</v>
      </c>
      <c r="Q427" t="s">
        <v>40</v>
      </c>
      <c r="R427" t="s">
        <v>1094</v>
      </c>
      <c r="S427" t="s">
        <v>1115</v>
      </c>
      <c r="T427" t="s">
        <v>841</v>
      </c>
      <c r="U427" t="s">
        <v>118</v>
      </c>
      <c r="V427" t="s">
        <v>43</v>
      </c>
      <c r="W427" t="s">
        <v>43</v>
      </c>
      <c r="Y427" t="s">
        <v>1150</v>
      </c>
      <c r="Z427" t="s">
        <v>45</v>
      </c>
      <c r="AA427" t="s">
        <v>89</v>
      </c>
      <c r="AB427" t="s">
        <v>43</v>
      </c>
      <c r="AC427" t="s">
        <v>43</v>
      </c>
      <c r="AD427" t="s">
        <v>43</v>
      </c>
      <c r="AE427" t="s">
        <v>43</v>
      </c>
      <c r="AF427" t="str">
        <f>AA427</f>
        <v>Böckingen (SC) Kunstrasen, Viehweide 5, 74080 Heilbronn-Böckingen</v>
      </c>
      <c r="AG427" t="str">
        <f>TRIM(MID(AF427, FIND(", ", AF427)+2, FIND(", ", AF427, FIND(", ", AF427)+1) - FIND(", ", AF427) - 2))</f>
        <v>Viehweide 5</v>
      </c>
      <c r="AH427" t="str">
        <f>_xlfn.TEXTBEFORE(_xlfn.TEXTAFTER(AF427, ", ", 2), " ")</f>
        <v>74080</v>
      </c>
      <c r="AI427" t="str">
        <f>_xlfn.TEXTAFTER(_xlfn.TEXTAFTER(AF427, ", ", 2), " ")</f>
        <v>Heilbronn-Böckingen</v>
      </c>
    </row>
    <row r="428" spans="1:35" x14ac:dyDescent="0.2">
      <c r="A428" t="str">
        <f>B428&amp;C428&amp;H428&amp;N428</f>
        <v>35002225Aramäer HeilbronnE-Junioren1</v>
      </c>
      <c r="B428" t="s">
        <v>334</v>
      </c>
      <c r="C428" t="s">
        <v>335</v>
      </c>
      <c r="D428" t="s">
        <v>34</v>
      </c>
      <c r="E428" t="s">
        <v>35</v>
      </c>
      <c r="F428" t="s">
        <v>36</v>
      </c>
      <c r="G428">
        <v>3</v>
      </c>
      <c r="H428" t="s">
        <v>1112</v>
      </c>
      <c r="I428" t="s">
        <v>114</v>
      </c>
      <c r="J428" t="s">
        <v>1113</v>
      </c>
      <c r="K428" t="s">
        <v>1143</v>
      </c>
      <c r="L428" t="s">
        <v>1395</v>
      </c>
      <c r="M428">
        <v>3</v>
      </c>
      <c r="N428">
        <v>1</v>
      </c>
      <c r="O428" t="s">
        <v>1144</v>
      </c>
      <c r="P428" t="s">
        <v>40</v>
      </c>
      <c r="Q428" t="s">
        <v>40</v>
      </c>
      <c r="R428" t="s">
        <v>1094</v>
      </c>
      <c r="S428" t="s">
        <v>1115</v>
      </c>
      <c r="T428" t="s">
        <v>849</v>
      </c>
      <c r="U428" t="s">
        <v>118</v>
      </c>
      <c r="V428" t="s">
        <v>43</v>
      </c>
      <c r="W428" t="s">
        <v>43</v>
      </c>
      <c r="Y428" t="s">
        <v>43</v>
      </c>
      <c r="Z428" t="s">
        <v>45</v>
      </c>
      <c r="AA428" t="s">
        <v>337</v>
      </c>
      <c r="AB428" t="s">
        <v>43</v>
      </c>
      <c r="AC428" t="s">
        <v>43</v>
      </c>
      <c r="AD428" t="s">
        <v>43</v>
      </c>
      <c r="AE428" t="s">
        <v>43</v>
      </c>
      <c r="AF428" t="str">
        <f>AA428</f>
        <v>Sontheim Schulrasenplatz, Max-von-Laue-Str. 1-3, 74081 Heilbronn-Sontheim</v>
      </c>
      <c r="AG428" t="str">
        <f>TRIM(MID(AF428, FIND(", ", AF428)+2, FIND(", ", AF428, FIND(", ", AF428)+1) - FIND(", ", AF428) - 2))</f>
        <v>Max-von-Laue-Str. 1-3</v>
      </c>
      <c r="AH428" t="str">
        <f>_xlfn.TEXTBEFORE(_xlfn.TEXTAFTER(AF428, ", ", 2), " ")</f>
        <v>74081</v>
      </c>
      <c r="AI428" t="str">
        <f>_xlfn.TEXTAFTER(_xlfn.TEXTAFTER(AF428, ", ", 2), " ")</f>
        <v>Heilbronn-Sontheim</v>
      </c>
    </row>
    <row r="429" spans="1:35" x14ac:dyDescent="0.2">
      <c r="A429" t="str">
        <f>B429&amp;C429&amp;H429&amp;N429</f>
        <v>35000201SV BonfeldE-Junioren1</v>
      </c>
      <c r="B429" t="s">
        <v>243</v>
      </c>
      <c r="C429" t="s">
        <v>244</v>
      </c>
      <c r="D429" t="s">
        <v>34</v>
      </c>
      <c r="E429" t="s">
        <v>35</v>
      </c>
      <c r="F429" t="s">
        <v>36</v>
      </c>
      <c r="G429">
        <v>3</v>
      </c>
      <c r="H429" t="s">
        <v>1112</v>
      </c>
      <c r="I429" t="s">
        <v>114</v>
      </c>
      <c r="J429" t="s">
        <v>1113</v>
      </c>
      <c r="K429" t="s">
        <v>1153</v>
      </c>
      <c r="L429" t="s">
        <v>1396</v>
      </c>
      <c r="M429">
        <v>6</v>
      </c>
      <c r="N429">
        <v>1</v>
      </c>
      <c r="O429" t="s">
        <v>952</v>
      </c>
      <c r="P429" t="s">
        <v>40</v>
      </c>
      <c r="Q429" t="s">
        <v>53</v>
      </c>
      <c r="R429" t="s">
        <v>1094</v>
      </c>
      <c r="S429" t="s">
        <v>1115</v>
      </c>
      <c r="T429" t="s">
        <v>837</v>
      </c>
      <c r="U429" t="s">
        <v>226</v>
      </c>
      <c r="V429" t="s">
        <v>43</v>
      </c>
      <c r="W429" t="s">
        <v>43</v>
      </c>
      <c r="Y429" t="s">
        <v>1156</v>
      </c>
      <c r="Z429" t="s">
        <v>45</v>
      </c>
      <c r="AA429" t="s">
        <v>1157</v>
      </c>
      <c r="AB429" t="s">
        <v>43</v>
      </c>
      <c r="AC429" t="s">
        <v>43</v>
      </c>
      <c r="AD429" t="s">
        <v>43</v>
      </c>
      <c r="AE429" t="s">
        <v>43</v>
      </c>
      <c r="AF429" t="str">
        <f>AA429</f>
        <v>Fürfeld Kunstrasen (Kleinfeld), Frankenstr., 74906 Bad Rappenau-Fürfeld</v>
      </c>
      <c r="AG429" t="str">
        <f>TRIM(MID(AF429, FIND(", ", AF429)+2, FIND(", ", AF429, FIND(", ", AF429)+1) - FIND(", ", AF429) - 2))</f>
        <v>Frankenstr.</v>
      </c>
      <c r="AH429" t="str">
        <f>_xlfn.TEXTBEFORE(_xlfn.TEXTAFTER(AF429, ", ", 2), " ")</f>
        <v>74906</v>
      </c>
      <c r="AI429" t="str">
        <f>_xlfn.TEXTAFTER(_xlfn.TEXTAFTER(AF429, ", ", 2), " ")</f>
        <v>Bad Rappenau-Fürfeld</v>
      </c>
    </row>
    <row r="430" spans="1:35" x14ac:dyDescent="0.2">
      <c r="A430" t="str">
        <f>B430&amp;C430&amp;H430&amp;N430</f>
        <v>35000340TSV Ellhofen (Franken)E-Junioren1</v>
      </c>
      <c r="B430" t="s">
        <v>247</v>
      </c>
      <c r="C430" t="s">
        <v>248</v>
      </c>
      <c r="D430" t="s">
        <v>34</v>
      </c>
      <c r="E430" t="s">
        <v>35</v>
      </c>
      <c r="F430" t="s">
        <v>36</v>
      </c>
      <c r="G430">
        <v>3</v>
      </c>
      <c r="H430" t="s">
        <v>1112</v>
      </c>
      <c r="I430" t="s">
        <v>114</v>
      </c>
      <c r="J430" t="s">
        <v>1113</v>
      </c>
      <c r="K430" t="s">
        <v>1153</v>
      </c>
      <c r="L430" t="s">
        <v>1396</v>
      </c>
      <c r="M430">
        <v>8</v>
      </c>
      <c r="N430">
        <v>1</v>
      </c>
      <c r="O430" t="s">
        <v>1161</v>
      </c>
      <c r="P430" t="s">
        <v>40</v>
      </c>
      <c r="Q430" t="s">
        <v>40</v>
      </c>
      <c r="R430" t="s">
        <v>1094</v>
      </c>
      <c r="S430" t="s">
        <v>1115</v>
      </c>
      <c r="T430" t="s">
        <v>837</v>
      </c>
      <c r="U430" t="s">
        <v>226</v>
      </c>
      <c r="V430" t="s">
        <v>43</v>
      </c>
      <c r="W430" t="s">
        <v>43</v>
      </c>
      <c r="X430" t="s">
        <v>1012</v>
      </c>
      <c r="Y430" s="4" t="s">
        <v>1162</v>
      </c>
      <c r="Z430" t="s">
        <v>45</v>
      </c>
      <c r="AA430" t="s">
        <v>863</v>
      </c>
      <c r="AB430" t="s">
        <v>43</v>
      </c>
      <c r="AC430" t="s">
        <v>43</v>
      </c>
      <c r="AD430" t="s">
        <v>43</v>
      </c>
      <c r="AE430" t="s">
        <v>43</v>
      </c>
      <c r="AF430" t="str">
        <f>AA430</f>
        <v>Ellhofen Rasen 1, Eulenbergstr. 60, 74248 Ellhofen-Zentrum</v>
      </c>
      <c r="AG430" t="str">
        <f>TRIM(MID(AF430, FIND(", ", AF430)+2, FIND(", ", AF430, FIND(", ", AF430)+1) - FIND(", ", AF430) - 2))</f>
        <v>Eulenbergstr. 60</v>
      </c>
      <c r="AH430" t="str">
        <f>_xlfn.TEXTBEFORE(_xlfn.TEXTAFTER(AF430, ", ", 2), " ")</f>
        <v>74248</v>
      </c>
      <c r="AI430" t="str">
        <f>_xlfn.TEXTAFTER(_xlfn.TEXTAFTER(AF430, ", ", 2), " ")</f>
        <v>Ellhofen-Zentrum</v>
      </c>
    </row>
    <row r="431" spans="1:35" x14ac:dyDescent="0.2">
      <c r="A431" t="str">
        <f>B431&amp;C431&amp;H431&amp;N431</f>
        <v>35000243SC DahenfeldE-Junioren1</v>
      </c>
      <c r="B431" t="s">
        <v>626</v>
      </c>
      <c r="C431" t="s">
        <v>627</v>
      </c>
      <c r="D431" t="s">
        <v>77</v>
      </c>
      <c r="E431" t="s">
        <v>35</v>
      </c>
      <c r="F431" t="s">
        <v>36</v>
      </c>
      <c r="G431">
        <v>3</v>
      </c>
      <c r="H431" t="s">
        <v>1112</v>
      </c>
      <c r="I431" t="s">
        <v>114</v>
      </c>
      <c r="J431" t="s">
        <v>1113</v>
      </c>
      <c r="K431" t="s">
        <v>1153</v>
      </c>
      <c r="L431" t="s">
        <v>1396</v>
      </c>
      <c r="M431">
        <v>4</v>
      </c>
      <c r="N431">
        <v>1</v>
      </c>
      <c r="O431" t="s">
        <v>627</v>
      </c>
      <c r="P431" t="s">
        <v>40</v>
      </c>
      <c r="Q431" t="s">
        <v>40</v>
      </c>
      <c r="R431" t="s">
        <v>1094</v>
      </c>
      <c r="S431" t="s">
        <v>1115</v>
      </c>
      <c r="T431" t="s">
        <v>974</v>
      </c>
      <c r="U431" t="s">
        <v>226</v>
      </c>
      <c r="V431" t="s">
        <v>43</v>
      </c>
      <c r="W431" t="s">
        <v>43</v>
      </c>
      <c r="Y431" t="s">
        <v>1154</v>
      </c>
      <c r="Z431" t="s">
        <v>45</v>
      </c>
      <c r="AA431" t="s">
        <v>629</v>
      </c>
      <c r="AB431" t="s">
        <v>1155</v>
      </c>
      <c r="AC431" t="s">
        <v>629</v>
      </c>
      <c r="AD431" t="s">
        <v>43</v>
      </c>
      <c r="AE431" t="s">
        <v>43</v>
      </c>
      <c r="AF431" t="str">
        <f>AC431</f>
        <v>Dahenfeld Rasen, Erlenbacher Str., 74172 Neckarsulm-Dahenfeld</v>
      </c>
      <c r="AG431" t="str">
        <f>TRIM(MID(AF431, FIND(", ", AF431)+2, FIND(", ", AF431, FIND(", ", AF431)+1) - FIND(", ", AF431) - 2))</f>
        <v>Erlenbacher Str.</v>
      </c>
      <c r="AH431" t="str">
        <f>_xlfn.TEXTBEFORE(_xlfn.TEXTAFTER(AF431, ", ", 2), " ")</f>
        <v>74172</v>
      </c>
      <c r="AI431" t="str">
        <f>_xlfn.TEXTAFTER(_xlfn.TEXTAFTER(AF431, ", ", 2), " ")</f>
        <v>Neckarsulm-Dahenfeld</v>
      </c>
    </row>
    <row r="432" spans="1:35" x14ac:dyDescent="0.2">
      <c r="A432" t="str">
        <f>B432&amp;C432&amp;H432&amp;N432</f>
        <v>35000520SG GundelsheimE-Junioren2</v>
      </c>
      <c r="B432" t="s">
        <v>744</v>
      </c>
      <c r="C432" t="s">
        <v>745</v>
      </c>
      <c r="D432" t="s">
        <v>77</v>
      </c>
      <c r="E432" t="s">
        <v>35</v>
      </c>
      <c r="F432" t="s">
        <v>36</v>
      </c>
      <c r="G432">
        <v>3</v>
      </c>
      <c r="H432" t="s">
        <v>1112</v>
      </c>
      <c r="I432" t="s">
        <v>114</v>
      </c>
      <c r="J432" t="s">
        <v>1113</v>
      </c>
      <c r="K432" t="s">
        <v>1153</v>
      </c>
      <c r="L432" t="s">
        <v>1396</v>
      </c>
      <c r="M432">
        <v>2</v>
      </c>
      <c r="N432">
        <v>2</v>
      </c>
      <c r="O432" t="s">
        <v>1158</v>
      </c>
      <c r="P432" t="s">
        <v>40</v>
      </c>
      <c r="Q432" t="s">
        <v>53</v>
      </c>
      <c r="R432" t="s">
        <v>1094</v>
      </c>
      <c r="S432" t="s">
        <v>1115</v>
      </c>
      <c r="T432" t="s">
        <v>1000</v>
      </c>
      <c r="U432" t="s">
        <v>226</v>
      </c>
      <c r="V432" t="s">
        <v>43</v>
      </c>
      <c r="W432" t="s">
        <v>43</v>
      </c>
      <c r="Y432" t="s">
        <v>1159</v>
      </c>
      <c r="Z432" t="s">
        <v>45</v>
      </c>
      <c r="AA432" t="s">
        <v>152</v>
      </c>
      <c r="AB432" t="s">
        <v>43</v>
      </c>
      <c r="AC432" t="s">
        <v>43</v>
      </c>
      <c r="AD432" t="s">
        <v>43</v>
      </c>
      <c r="AE432" t="s">
        <v>43</v>
      </c>
      <c r="AF432" t="str">
        <f>AA432</f>
        <v>Gundelsheim Kunstrasen, Danziger Str., 74831 Gundelsheim-Zentrum</v>
      </c>
      <c r="AG432" t="str">
        <f>TRIM(MID(AF432, FIND(", ", AF432)+2, FIND(", ", AF432, FIND(", ", AF432)+1) - FIND(", ", AF432) - 2))</f>
        <v>Danziger Str.</v>
      </c>
      <c r="AH432" t="str">
        <f>_xlfn.TEXTBEFORE(_xlfn.TEXTAFTER(AF432, ", ", 2), " ")</f>
        <v>74831</v>
      </c>
      <c r="AI432" t="str">
        <f>_xlfn.TEXTAFTER(_xlfn.TEXTAFTER(AF432, ", ", 2), " ")</f>
        <v>Gundelsheim-Zentrum</v>
      </c>
    </row>
    <row r="433" spans="1:35" x14ac:dyDescent="0.2">
      <c r="A433" t="str">
        <f>B433&amp;C433&amp;H433&amp;N433</f>
        <v>35000923TSV NeuenstadtE-Junioren1</v>
      </c>
      <c r="B433" t="s">
        <v>141</v>
      </c>
      <c r="C433" t="s">
        <v>142</v>
      </c>
      <c r="D433" t="s">
        <v>77</v>
      </c>
      <c r="E433" t="s">
        <v>35</v>
      </c>
      <c r="F433" t="s">
        <v>36</v>
      </c>
      <c r="G433">
        <v>3</v>
      </c>
      <c r="H433" t="s">
        <v>1112</v>
      </c>
      <c r="I433" t="s">
        <v>114</v>
      </c>
      <c r="J433" t="s">
        <v>1113</v>
      </c>
      <c r="K433" t="s">
        <v>1153</v>
      </c>
      <c r="L433" t="s">
        <v>1396</v>
      </c>
      <c r="M433">
        <v>5</v>
      </c>
      <c r="N433">
        <v>1</v>
      </c>
      <c r="O433" t="s">
        <v>978</v>
      </c>
      <c r="P433" t="s">
        <v>40</v>
      </c>
      <c r="Q433" t="s">
        <v>40</v>
      </c>
      <c r="R433" t="s">
        <v>1094</v>
      </c>
      <c r="S433" t="s">
        <v>1115</v>
      </c>
      <c r="T433" t="s">
        <v>974</v>
      </c>
      <c r="U433" t="s">
        <v>226</v>
      </c>
      <c r="V433" t="s">
        <v>43</v>
      </c>
      <c r="W433" t="s">
        <v>43</v>
      </c>
      <c r="Y433" t="s">
        <v>748</v>
      </c>
      <c r="Z433" t="s">
        <v>45</v>
      </c>
      <c r="AA433" t="s">
        <v>1160</v>
      </c>
      <c r="AB433" t="s">
        <v>43</v>
      </c>
      <c r="AC433" t="s">
        <v>43</v>
      </c>
      <c r="AD433" t="s">
        <v>43</v>
      </c>
      <c r="AE433" t="s">
        <v>43</v>
      </c>
      <c r="AF433" t="str">
        <f>AA433</f>
        <v>Neuenstadt Kunstrasen, Cleversulzbacher Str. 89, 74196 Neuenstadt am Kocher</v>
      </c>
      <c r="AG433" t="str">
        <f>TRIM(MID(AF433, FIND(", ", AF433)+2, FIND(", ", AF433, FIND(", ", AF433)+1) - FIND(", ", AF433) - 2))</f>
        <v>Cleversulzbacher Str. 89</v>
      </c>
      <c r="AH433" t="str">
        <f>_xlfn.TEXTBEFORE(_xlfn.TEXTAFTER(AF433, ", ", 2), " ")</f>
        <v>74196</v>
      </c>
      <c r="AI433" t="str">
        <f>_xlfn.TEXTAFTER(_xlfn.TEXTAFTER(AF433, ", ", 2), " ")</f>
        <v>Neuenstadt am Kocher</v>
      </c>
    </row>
    <row r="434" spans="1:35" x14ac:dyDescent="0.2">
      <c r="A434" t="str">
        <f>B434&amp;C434&amp;H434&amp;N434</f>
        <v>35000967VfL ObereisesheimE-Junioren2</v>
      </c>
      <c r="B434" t="s">
        <v>467</v>
      </c>
      <c r="C434" t="s">
        <v>468</v>
      </c>
      <c r="D434" t="s">
        <v>77</v>
      </c>
      <c r="E434" t="s">
        <v>35</v>
      </c>
      <c r="F434" t="s">
        <v>36</v>
      </c>
      <c r="G434">
        <v>3</v>
      </c>
      <c r="H434" t="s">
        <v>1112</v>
      </c>
      <c r="I434" t="s">
        <v>114</v>
      </c>
      <c r="J434" t="s">
        <v>1113</v>
      </c>
      <c r="K434" t="s">
        <v>1153</v>
      </c>
      <c r="L434" t="s">
        <v>1396</v>
      </c>
      <c r="M434">
        <v>7</v>
      </c>
      <c r="N434">
        <v>2</v>
      </c>
      <c r="O434" t="s">
        <v>1006</v>
      </c>
      <c r="P434" t="s">
        <v>40</v>
      </c>
      <c r="Q434" t="s">
        <v>40</v>
      </c>
      <c r="R434" t="s">
        <v>1094</v>
      </c>
      <c r="S434" t="s">
        <v>1115</v>
      </c>
      <c r="T434" t="s">
        <v>837</v>
      </c>
      <c r="U434" t="s">
        <v>226</v>
      </c>
      <c r="V434" t="s">
        <v>43</v>
      </c>
      <c r="W434" t="s">
        <v>43</v>
      </c>
      <c r="Y434" t="s">
        <v>43</v>
      </c>
      <c r="Z434" t="s">
        <v>45</v>
      </c>
      <c r="AA434" t="s">
        <v>1008</v>
      </c>
      <c r="AB434" t="s">
        <v>43</v>
      </c>
      <c r="AC434" t="s">
        <v>43</v>
      </c>
      <c r="AD434" t="s">
        <v>43</v>
      </c>
      <c r="AE434" t="s">
        <v>43</v>
      </c>
      <c r="AF434" t="str">
        <f>AA434</f>
        <v>Obereisesheim Rasen 2, Eberwinstr. 26, 74172 Neckarsulm-Obereisesheim</v>
      </c>
      <c r="AG434" t="str">
        <f>TRIM(MID(AF434, FIND(", ", AF434)+2, FIND(", ", AF434, FIND(", ", AF434)+1) - FIND(", ", AF434) - 2))</f>
        <v>Eberwinstr. 26</v>
      </c>
      <c r="AH434" t="str">
        <f>_xlfn.TEXTBEFORE(_xlfn.TEXTAFTER(AF434, ", ", 2), " ")</f>
        <v>74172</v>
      </c>
      <c r="AI434" t="str">
        <f>_xlfn.TEXTAFTER(_xlfn.TEXTAFTER(AF434, ", ", 2), " ")</f>
        <v>Neckarsulm-Obereisesheim</v>
      </c>
    </row>
    <row r="435" spans="1:35" x14ac:dyDescent="0.2">
      <c r="A435" t="str">
        <f>B435&amp;C435&amp;H435&amp;N435</f>
        <v>35001521SG Bad WimpfenE-Junioren2</v>
      </c>
      <c r="B435" t="s">
        <v>120</v>
      </c>
      <c r="C435" t="s">
        <v>121</v>
      </c>
      <c r="D435" t="s">
        <v>77</v>
      </c>
      <c r="E435" t="s">
        <v>35</v>
      </c>
      <c r="F435" t="s">
        <v>36</v>
      </c>
      <c r="G435">
        <v>3</v>
      </c>
      <c r="H435" t="s">
        <v>1112</v>
      </c>
      <c r="I435" t="s">
        <v>114</v>
      </c>
      <c r="J435" t="s">
        <v>1113</v>
      </c>
      <c r="K435" t="s">
        <v>1153</v>
      </c>
      <c r="L435" t="s">
        <v>1396</v>
      </c>
      <c r="M435">
        <v>3</v>
      </c>
      <c r="N435">
        <v>2</v>
      </c>
      <c r="O435" t="s">
        <v>448</v>
      </c>
      <c r="P435" t="s">
        <v>40</v>
      </c>
      <c r="Q435" t="s">
        <v>40</v>
      </c>
      <c r="R435" t="s">
        <v>1094</v>
      </c>
      <c r="S435" t="s">
        <v>1115</v>
      </c>
      <c r="T435" t="s">
        <v>837</v>
      </c>
      <c r="U435" t="s">
        <v>226</v>
      </c>
      <c r="V435" t="s">
        <v>43</v>
      </c>
      <c r="W435" t="s">
        <v>43</v>
      </c>
      <c r="Y435" t="s">
        <v>43</v>
      </c>
      <c r="Z435" t="s">
        <v>45</v>
      </c>
      <c r="AA435" t="s">
        <v>122</v>
      </c>
      <c r="AB435" t="s">
        <v>43</v>
      </c>
      <c r="AC435" t="s">
        <v>43</v>
      </c>
      <c r="AD435" t="s">
        <v>43</v>
      </c>
      <c r="AE435" t="s">
        <v>43</v>
      </c>
      <c r="AF435" t="str">
        <f>AA435</f>
        <v>Bad Wimpfen Kunstrasen, Erich-Sailer-Str. 59, 74206 Bad Wimpfen-Zentrum</v>
      </c>
      <c r="AG435" t="str">
        <f>TRIM(MID(AF435, FIND(", ", AF435)+2, FIND(", ", AF435, FIND(", ", AF435)+1) - FIND(", ", AF435) - 2))</f>
        <v>Erich-Sailer-Str. 59</v>
      </c>
      <c r="AH435" t="str">
        <f>_xlfn.TEXTBEFORE(_xlfn.TEXTAFTER(AF435, ", ", 2), " ")</f>
        <v>74206</v>
      </c>
      <c r="AI435" t="str">
        <f>_xlfn.TEXTAFTER(_xlfn.TEXTAFTER(AF435, ", ", 2), " ")</f>
        <v>Bad Wimpfen-Zentrum</v>
      </c>
    </row>
    <row r="436" spans="1:35" x14ac:dyDescent="0.2">
      <c r="A436" t="str">
        <f>B436&amp;C436&amp;H436&amp;N436</f>
        <v>35002099FSV Friedrichshaller SV 1898E-Junioren2</v>
      </c>
      <c r="B436" t="s">
        <v>338</v>
      </c>
      <c r="C436" t="s">
        <v>339</v>
      </c>
      <c r="D436" t="s">
        <v>77</v>
      </c>
      <c r="E436" t="s">
        <v>35</v>
      </c>
      <c r="F436" t="s">
        <v>36</v>
      </c>
      <c r="G436">
        <v>3</v>
      </c>
      <c r="H436" t="s">
        <v>1112</v>
      </c>
      <c r="I436" t="s">
        <v>114</v>
      </c>
      <c r="J436" t="s">
        <v>1113</v>
      </c>
      <c r="K436" t="s">
        <v>1153</v>
      </c>
      <c r="L436" t="s">
        <v>1396</v>
      </c>
      <c r="M436">
        <v>1</v>
      </c>
      <c r="N436">
        <v>2</v>
      </c>
      <c r="O436" t="s">
        <v>471</v>
      </c>
      <c r="P436" t="s">
        <v>40</v>
      </c>
      <c r="Q436" t="s">
        <v>53</v>
      </c>
      <c r="R436" t="s">
        <v>1094</v>
      </c>
      <c r="S436" t="s">
        <v>1115</v>
      </c>
      <c r="T436" t="s">
        <v>837</v>
      </c>
      <c r="U436" t="s">
        <v>226</v>
      </c>
      <c r="V436" t="s">
        <v>43</v>
      </c>
      <c r="W436" t="s">
        <v>43</v>
      </c>
      <c r="Y436" t="s">
        <v>43</v>
      </c>
      <c r="Z436" t="s">
        <v>45</v>
      </c>
      <c r="AA436" t="s">
        <v>1123</v>
      </c>
      <c r="AB436" t="s">
        <v>43</v>
      </c>
      <c r="AC436" t="s">
        <v>43</v>
      </c>
      <c r="AD436" t="s">
        <v>43</v>
      </c>
      <c r="AE436" t="s">
        <v>43</v>
      </c>
      <c r="AF436" t="str">
        <f>AA436</f>
        <v>Hagenbach Rasen, Ohrnberger Str. 4, 74177 Bad Friedrichshall-Hagenbach</v>
      </c>
      <c r="AG436" t="str">
        <f>TRIM(MID(AF436, FIND(", ", AF436)+2, FIND(", ", AF436, FIND(", ", AF436)+1) - FIND(", ", AF436) - 2))</f>
        <v>Ohrnberger Str. 4</v>
      </c>
      <c r="AH436" t="str">
        <f>_xlfn.TEXTBEFORE(_xlfn.TEXTAFTER(AF436, ", ", 2), " ")</f>
        <v>74177</v>
      </c>
      <c r="AI436" t="str">
        <f>_xlfn.TEXTAFTER(_xlfn.TEXTAFTER(AF436, ", ", 2), " ")</f>
        <v>Bad Friedrichshall-Hagenbach</v>
      </c>
    </row>
    <row r="437" spans="1:35" x14ac:dyDescent="0.2">
      <c r="A437" t="str">
        <f>B437&amp;C437&amp;H437&amp;N437</f>
        <v>35000079SSV AuensteinE-Junioren1</v>
      </c>
      <c r="B437" t="s">
        <v>271</v>
      </c>
      <c r="C437" t="s">
        <v>272</v>
      </c>
      <c r="D437" t="s">
        <v>34</v>
      </c>
      <c r="E437" t="s">
        <v>35</v>
      </c>
      <c r="F437" t="s">
        <v>36</v>
      </c>
      <c r="G437">
        <v>3</v>
      </c>
      <c r="H437" t="s">
        <v>1112</v>
      </c>
      <c r="I437" t="s">
        <v>114</v>
      </c>
      <c r="J437" t="s">
        <v>1113</v>
      </c>
      <c r="K437" t="s">
        <v>1163</v>
      </c>
      <c r="L437" t="s">
        <v>1397</v>
      </c>
      <c r="M437">
        <v>1</v>
      </c>
      <c r="N437">
        <v>1</v>
      </c>
      <c r="O437" t="s">
        <v>1172</v>
      </c>
      <c r="P437" t="s">
        <v>40</v>
      </c>
      <c r="Q437" t="s">
        <v>53</v>
      </c>
      <c r="R437" t="s">
        <v>1094</v>
      </c>
      <c r="S437" t="s">
        <v>1115</v>
      </c>
      <c r="T437" t="s">
        <v>974</v>
      </c>
      <c r="U437" t="s">
        <v>226</v>
      </c>
      <c r="V437" t="s">
        <v>43</v>
      </c>
      <c r="W437" t="s">
        <v>43</v>
      </c>
      <c r="X437" t="s">
        <v>984</v>
      </c>
      <c r="Y437" s="4" t="s">
        <v>274</v>
      </c>
      <c r="Z437" t="s">
        <v>45</v>
      </c>
      <c r="AA437" t="s">
        <v>275</v>
      </c>
      <c r="AB437" t="s">
        <v>43</v>
      </c>
      <c r="AC437" t="s">
        <v>43</v>
      </c>
      <c r="AD437" t="s">
        <v>43</v>
      </c>
      <c r="AE437" t="s">
        <v>43</v>
      </c>
      <c r="AF437" t="str">
        <f>AA437</f>
        <v>Auenstein Rasen 1 (Sportpark am Tiefenbach), Ochsenweg 1, 74360 Ilsfeld-Auenstein</v>
      </c>
      <c r="AG437" t="str">
        <f>TRIM(MID(AF437, FIND(", ", AF437)+2, FIND(", ", AF437, FIND(", ", AF437)+1) - FIND(", ", AF437) - 2))</f>
        <v>Ochsenweg 1</v>
      </c>
      <c r="AH437" t="str">
        <f>_xlfn.TEXTBEFORE(_xlfn.TEXTAFTER(AF437, ", ", 2), " ")</f>
        <v>74360</v>
      </c>
      <c r="AI437" t="str">
        <f>_xlfn.TEXTAFTER(_xlfn.TEXTAFTER(AF437, ", ", 2), " ")</f>
        <v>Ilsfeld-Auenstein</v>
      </c>
    </row>
    <row r="438" spans="1:35" x14ac:dyDescent="0.2">
      <c r="A438" t="str">
        <f>B438&amp;C438&amp;H438&amp;N438</f>
        <v>35000236TSV CleebronnE-Junioren1</v>
      </c>
      <c r="B438" t="s">
        <v>123</v>
      </c>
      <c r="C438" t="s">
        <v>124</v>
      </c>
      <c r="D438" t="s">
        <v>34</v>
      </c>
      <c r="E438" t="s">
        <v>35</v>
      </c>
      <c r="F438" t="s">
        <v>36</v>
      </c>
      <c r="G438">
        <v>3</v>
      </c>
      <c r="H438" t="s">
        <v>1112</v>
      </c>
      <c r="I438" t="s">
        <v>114</v>
      </c>
      <c r="J438" t="s">
        <v>1113</v>
      </c>
      <c r="K438" t="s">
        <v>1163</v>
      </c>
      <c r="L438" t="s">
        <v>1397</v>
      </c>
      <c r="M438">
        <v>4</v>
      </c>
      <c r="N438">
        <v>1</v>
      </c>
      <c r="O438" t="s">
        <v>991</v>
      </c>
      <c r="P438" t="s">
        <v>40</v>
      </c>
      <c r="Q438" t="s">
        <v>40</v>
      </c>
      <c r="R438" t="s">
        <v>1094</v>
      </c>
      <c r="S438" t="s">
        <v>1115</v>
      </c>
      <c r="T438" t="s">
        <v>837</v>
      </c>
      <c r="U438" t="s">
        <v>226</v>
      </c>
      <c r="V438" t="s">
        <v>43</v>
      </c>
      <c r="W438" t="s">
        <v>43</v>
      </c>
      <c r="Y438" t="s">
        <v>992</v>
      </c>
      <c r="Z438" t="s">
        <v>45</v>
      </c>
      <c r="AA438" t="s">
        <v>713</v>
      </c>
      <c r="AB438" t="s">
        <v>43</v>
      </c>
      <c r="AC438" t="s">
        <v>43</v>
      </c>
      <c r="AD438" t="s">
        <v>43</v>
      </c>
      <c r="AE438" t="s">
        <v>43</v>
      </c>
      <c r="AF438" t="str">
        <f>AA438</f>
        <v>Cleebronn Rasen 2, Schützenstr., 74389 Cleebronn-Zentrum</v>
      </c>
      <c r="AG438" t="str">
        <f>TRIM(MID(AF438, FIND(", ", AF438)+2, FIND(", ", AF438, FIND(", ", AF438)+1) - FIND(", ", AF438) - 2))</f>
        <v>Schützenstr.</v>
      </c>
      <c r="AH438" t="str">
        <f>_xlfn.TEXTBEFORE(_xlfn.TEXTAFTER(AF438, ", ", 2), " ")</f>
        <v>74389</v>
      </c>
      <c r="AI438" t="str">
        <f>_xlfn.TEXTAFTER(_xlfn.TEXTAFTER(AF438, ", ", 2), " ")</f>
        <v>Cleebronn-Zentrum</v>
      </c>
    </row>
    <row r="439" spans="1:35" x14ac:dyDescent="0.2">
      <c r="A439" t="str">
        <f>B439&amp;C439&amp;H439&amp;N439</f>
        <v>35000404TV FleinE-Junioren1</v>
      </c>
      <c r="B439" t="s">
        <v>109</v>
      </c>
      <c r="C439" t="s">
        <v>110</v>
      </c>
      <c r="D439" t="s">
        <v>34</v>
      </c>
      <c r="E439" t="s">
        <v>35</v>
      </c>
      <c r="F439" t="s">
        <v>36</v>
      </c>
      <c r="G439">
        <v>3</v>
      </c>
      <c r="H439" t="s">
        <v>1112</v>
      </c>
      <c r="I439" t="s">
        <v>114</v>
      </c>
      <c r="J439" t="s">
        <v>1113</v>
      </c>
      <c r="K439" t="s">
        <v>1163</v>
      </c>
      <c r="L439" t="s">
        <v>1397</v>
      </c>
      <c r="M439">
        <v>5</v>
      </c>
      <c r="N439">
        <v>1</v>
      </c>
      <c r="O439" t="s">
        <v>909</v>
      </c>
      <c r="P439" t="s">
        <v>40</v>
      </c>
      <c r="Q439" t="s">
        <v>53</v>
      </c>
      <c r="R439" t="s">
        <v>1094</v>
      </c>
      <c r="S439" t="s">
        <v>910</v>
      </c>
      <c r="T439" t="s">
        <v>974</v>
      </c>
      <c r="U439" t="s">
        <v>226</v>
      </c>
      <c r="V439" t="s">
        <v>43</v>
      </c>
      <c r="W439" t="s">
        <v>43</v>
      </c>
      <c r="Y439" t="s">
        <v>1175</v>
      </c>
      <c r="Z439" t="s">
        <v>45</v>
      </c>
      <c r="AA439" t="s">
        <v>911</v>
      </c>
      <c r="AB439" t="s">
        <v>43</v>
      </c>
      <c r="AC439" t="s">
        <v>43</v>
      </c>
      <c r="AD439" t="s">
        <v>43</v>
      </c>
      <c r="AE439" t="s">
        <v>43</v>
      </c>
      <c r="AF439" t="str">
        <f>AA439</f>
        <v>Flein Kunstrasen (Flutlicht), Talheimer Str. 1, 74223 Flein-Zentrum</v>
      </c>
      <c r="AG439" t="str">
        <f>TRIM(MID(AF439, FIND(", ", AF439)+2, FIND(", ", AF439, FIND(", ", AF439)+1) - FIND(", ", AF439) - 2))</f>
        <v>Talheimer Str. 1</v>
      </c>
      <c r="AH439" t="str">
        <f>_xlfn.TEXTBEFORE(_xlfn.TEXTAFTER(AF439, ", ", 2), " ")</f>
        <v>74223</v>
      </c>
      <c r="AI439" t="str">
        <f>_xlfn.TEXTAFTER(_xlfn.TEXTAFTER(AF439, ", ", 2), " ")</f>
        <v>Flein-Zentrum</v>
      </c>
    </row>
    <row r="440" spans="1:35" x14ac:dyDescent="0.2">
      <c r="A440" t="str">
        <f>B440&amp;C440&amp;H440&amp;N440</f>
        <v>35000910Spfr NeckarwestheimE-Junioren2</v>
      </c>
      <c r="B440" t="s">
        <v>68</v>
      </c>
      <c r="C440" t="s">
        <v>69</v>
      </c>
      <c r="D440" t="s">
        <v>34</v>
      </c>
      <c r="E440" t="s">
        <v>35</v>
      </c>
      <c r="F440" t="s">
        <v>36</v>
      </c>
      <c r="G440">
        <v>3</v>
      </c>
      <c r="H440" t="s">
        <v>1112</v>
      </c>
      <c r="I440" t="s">
        <v>114</v>
      </c>
      <c r="J440" t="s">
        <v>1113</v>
      </c>
      <c r="K440" t="s">
        <v>1163</v>
      </c>
      <c r="L440" t="s">
        <v>1397</v>
      </c>
      <c r="M440">
        <v>7</v>
      </c>
      <c r="N440">
        <v>2</v>
      </c>
      <c r="O440" t="s">
        <v>462</v>
      </c>
      <c r="P440" t="s">
        <v>40</v>
      </c>
      <c r="Q440" t="s">
        <v>40</v>
      </c>
      <c r="R440" t="s">
        <v>1094</v>
      </c>
      <c r="S440" t="s">
        <v>989</v>
      </c>
      <c r="T440" t="s">
        <v>837</v>
      </c>
      <c r="U440" t="s">
        <v>226</v>
      </c>
      <c r="V440" t="s">
        <v>43</v>
      </c>
      <c r="W440" t="s">
        <v>43</v>
      </c>
      <c r="X440" t="s">
        <v>959</v>
      </c>
      <c r="Y440" s="4" t="s">
        <v>1171</v>
      </c>
      <c r="Z440" t="s">
        <v>45</v>
      </c>
      <c r="AA440" t="s">
        <v>74</v>
      </c>
      <c r="AB440" t="s">
        <v>43</v>
      </c>
      <c r="AC440" t="s">
        <v>43</v>
      </c>
      <c r="AD440" t="s">
        <v>43</v>
      </c>
      <c r="AE440" t="s">
        <v>43</v>
      </c>
      <c r="AF440" t="str">
        <f>AA440</f>
        <v>Neckarwestheim Rasen 1, Reblandstr. 31, 74382 Neckarwestheim-Zentrum</v>
      </c>
      <c r="AG440" t="str">
        <f>TRIM(MID(AF440, FIND(", ", AF440)+2, FIND(", ", AF440, FIND(", ", AF440)+1) - FIND(", ", AF440) - 2))</f>
        <v>Reblandstr. 31</v>
      </c>
      <c r="AH440" t="str">
        <f>_xlfn.TEXTBEFORE(_xlfn.TEXTAFTER(AF440, ", ", 2), " ")</f>
        <v>74382</v>
      </c>
      <c r="AI440" t="str">
        <f>_xlfn.TEXTAFTER(_xlfn.TEXTAFTER(AF440, ", ", 2), " ")</f>
        <v>Neckarwestheim-Zentrum</v>
      </c>
    </row>
    <row r="441" spans="1:35" x14ac:dyDescent="0.2">
      <c r="A441" t="str">
        <f>B441&amp;C441&amp;H441&amp;N441</f>
        <v>35000951TSV Nordheim FußballE-Junioren1</v>
      </c>
      <c r="B441" t="s">
        <v>954</v>
      </c>
      <c r="C441" t="s">
        <v>955</v>
      </c>
      <c r="D441" t="s">
        <v>34</v>
      </c>
      <c r="E441" t="s">
        <v>35</v>
      </c>
      <c r="F441" t="s">
        <v>36</v>
      </c>
      <c r="G441">
        <v>3</v>
      </c>
      <c r="H441" t="s">
        <v>1112</v>
      </c>
      <c r="I441" t="s">
        <v>114</v>
      </c>
      <c r="J441" t="s">
        <v>1113</v>
      </c>
      <c r="K441" t="s">
        <v>1163</v>
      </c>
      <c r="L441" t="s">
        <v>1397</v>
      </c>
      <c r="M441">
        <v>8</v>
      </c>
      <c r="N441">
        <v>1</v>
      </c>
      <c r="O441" t="s">
        <v>956</v>
      </c>
      <c r="P441" t="s">
        <v>40</v>
      </c>
      <c r="Q441" t="s">
        <v>53</v>
      </c>
      <c r="R441" t="s">
        <v>1094</v>
      </c>
      <c r="S441" t="s">
        <v>1115</v>
      </c>
      <c r="T441" t="s">
        <v>974</v>
      </c>
      <c r="U441" t="s">
        <v>226</v>
      </c>
      <c r="V441" t="s">
        <v>43</v>
      </c>
      <c r="W441" t="s">
        <v>43</v>
      </c>
      <c r="X441" t="s">
        <v>1169</v>
      </c>
      <c r="Y441" s="4" t="s">
        <v>1170</v>
      </c>
      <c r="Z441" t="s">
        <v>45</v>
      </c>
      <c r="AA441" t="s">
        <v>958</v>
      </c>
      <c r="AB441" t="s">
        <v>43</v>
      </c>
      <c r="AC441" t="s">
        <v>43</v>
      </c>
      <c r="AD441" t="s">
        <v>43</v>
      </c>
      <c r="AE441" t="s">
        <v>43</v>
      </c>
      <c r="AF441" t="str">
        <f>AA441</f>
        <v>Nordheim Kunstrasen, Breibachweg, 74226 Nordheim-Zentrum</v>
      </c>
      <c r="AG441" t="str">
        <f>TRIM(MID(AF441, FIND(", ", AF441)+2, FIND(", ", AF441, FIND(", ", AF441)+1) - FIND(", ", AF441) - 2))</f>
        <v>Breibachweg</v>
      </c>
      <c r="AH441" t="str">
        <f>_xlfn.TEXTBEFORE(_xlfn.TEXTAFTER(AF441, ", ", 2), " ")</f>
        <v>74226</v>
      </c>
      <c r="AI441" t="str">
        <f>_xlfn.TEXTAFTER(_xlfn.TEXTAFTER(AF441, ", ", 2), " ")</f>
        <v>Nordheim-Zentrum</v>
      </c>
    </row>
    <row r="442" spans="1:35" x14ac:dyDescent="0.2">
      <c r="A442" t="str">
        <f>B442&amp;C442&amp;H442&amp;N442</f>
        <v>35001040TSV PfaffenhofenE-Junioren1</v>
      </c>
      <c r="B442" t="s">
        <v>733</v>
      </c>
      <c r="C442" t="s">
        <v>734</v>
      </c>
      <c r="D442" t="s">
        <v>34</v>
      </c>
      <c r="E442" t="s">
        <v>35</v>
      </c>
      <c r="F442" t="s">
        <v>36</v>
      </c>
      <c r="G442">
        <v>3</v>
      </c>
      <c r="H442" t="s">
        <v>1112</v>
      </c>
      <c r="I442" t="s">
        <v>114</v>
      </c>
      <c r="J442" t="s">
        <v>1113</v>
      </c>
      <c r="K442" t="s">
        <v>1163</v>
      </c>
      <c r="L442" t="s">
        <v>1397</v>
      </c>
      <c r="M442">
        <v>2</v>
      </c>
      <c r="N442">
        <v>1</v>
      </c>
      <c r="O442" t="s">
        <v>734</v>
      </c>
      <c r="P442" t="s">
        <v>40</v>
      </c>
      <c r="Q442" t="s">
        <v>53</v>
      </c>
      <c r="R442" t="s">
        <v>1094</v>
      </c>
      <c r="S442" t="s">
        <v>1115</v>
      </c>
      <c r="T442" t="s">
        <v>837</v>
      </c>
      <c r="U442" t="s">
        <v>226</v>
      </c>
      <c r="V442" t="s">
        <v>43</v>
      </c>
      <c r="W442" t="s">
        <v>43</v>
      </c>
      <c r="X442" t="s">
        <v>1173</v>
      </c>
      <c r="Y442" s="4" t="s">
        <v>1174</v>
      </c>
      <c r="Z442" t="s">
        <v>45</v>
      </c>
      <c r="AA442" t="s">
        <v>738</v>
      </c>
      <c r="AB442" t="s">
        <v>43</v>
      </c>
      <c r="AC442" t="s">
        <v>43</v>
      </c>
      <c r="AD442" t="s">
        <v>43</v>
      </c>
      <c r="AE442" t="s">
        <v>43</v>
      </c>
      <c r="AF442" t="str">
        <f>AA442</f>
        <v>Pfaffenhofen Rasen 1, Im Unteren Tal, 74397 Pfaffenhofen</v>
      </c>
      <c r="AG442" t="str">
        <f>TRIM(MID(AF442, FIND(", ", AF442)+2, FIND(", ", AF442, FIND(", ", AF442)+1) - FIND(", ", AF442) - 2))</f>
        <v>Im Unteren Tal</v>
      </c>
      <c r="AH442" t="str">
        <f>_xlfn.TEXTBEFORE(_xlfn.TEXTAFTER(AF442, ", ", 2), " ")</f>
        <v>74397</v>
      </c>
      <c r="AI442" t="str">
        <f>_xlfn.TEXTAFTER(_xlfn.TEXTAFTER(AF442, ", ", 2), " ")</f>
        <v>Pfaffenhofen</v>
      </c>
    </row>
    <row r="443" spans="1:35" x14ac:dyDescent="0.2">
      <c r="A443" t="str">
        <f>B443&amp;C443&amp;H443&amp;N443</f>
        <v>35001542FV WüstenrotE-Junioren1</v>
      </c>
      <c r="B443" t="s">
        <v>1165</v>
      </c>
      <c r="C443" t="s">
        <v>1166</v>
      </c>
      <c r="D443" t="s">
        <v>34</v>
      </c>
      <c r="E443" t="s">
        <v>35</v>
      </c>
      <c r="F443" t="s">
        <v>36</v>
      </c>
      <c r="G443">
        <v>3</v>
      </c>
      <c r="H443" t="s">
        <v>1112</v>
      </c>
      <c r="I443" t="s">
        <v>114</v>
      </c>
      <c r="J443" t="s">
        <v>1113</v>
      </c>
      <c r="K443" t="s">
        <v>1163</v>
      </c>
      <c r="L443" t="s">
        <v>1397</v>
      </c>
      <c r="M443">
        <v>6</v>
      </c>
      <c r="N443">
        <v>1</v>
      </c>
      <c r="O443" t="s">
        <v>1167</v>
      </c>
      <c r="P443" t="s">
        <v>40</v>
      </c>
      <c r="Q443" t="s">
        <v>53</v>
      </c>
      <c r="R443" t="s">
        <v>1094</v>
      </c>
      <c r="S443" t="s">
        <v>1115</v>
      </c>
      <c r="T443" t="s">
        <v>837</v>
      </c>
      <c r="U443" t="s">
        <v>226</v>
      </c>
      <c r="V443" t="s">
        <v>43</v>
      </c>
      <c r="W443" t="s">
        <v>43</v>
      </c>
      <c r="Y443" t="s">
        <v>1168</v>
      </c>
      <c r="Z443" t="s">
        <v>45</v>
      </c>
      <c r="AA443" t="s">
        <v>305</v>
      </c>
      <c r="AB443" t="s">
        <v>43</v>
      </c>
      <c r="AC443" t="s">
        <v>43</v>
      </c>
      <c r="AD443" t="s">
        <v>43</v>
      </c>
      <c r="AE443" t="s">
        <v>43</v>
      </c>
      <c r="AF443" t="str">
        <f>AA443</f>
        <v>Wüstenrot Waldsportplatz Kunstrasen, Sportgaststätte FV Wüstenrot, 71543 Wüstenrot</v>
      </c>
      <c r="AG443" t="str">
        <f>TRIM(MID(AF443, FIND(", ", AF443)+2, FIND(", ", AF443, FIND(", ", AF443)+1) - FIND(", ", AF443) - 2))</f>
        <v>Sportgaststätte FV Wüstenrot</v>
      </c>
      <c r="AH443" t="str">
        <f>_xlfn.TEXTBEFORE(_xlfn.TEXTAFTER(AF443, ", ", 2), " ")</f>
        <v>71543</v>
      </c>
      <c r="AI443" t="str">
        <f>_xlfn.TEXTAFTER(_xlfn.TEXTAFTER(AF443, ", ", 2), " ")</f>
        <v>Wüstenrot</v>
      </c>
    </row>
    <row r="444" spans="1:35" x14ac:dyDescent="0.2">
      <c r="A444" t="str">
        <f>B444&amp;C444&amp;H444&amp;N444</f>
        <v>35002225Aramäer HeilbronnE-Junioren2</v>
      </c>
      <c r="B444" t="s">
        <v>334</v>
      </c>
      <c r="C444" t="s">
        <v>335</v>
      </c>
      <c r="D444" t="s">
        <v>34</v>
      </c>
      <c r="E444" t="s">
        <v>35</v>
      </c>
      <c r="F444" t="s">
        <v>36</v>
      </c>
      <c r="G444">
        <v>3</v>
      </c>
      <c r="H444" t="s">
        <v>1112</v>
      </c>
      <c r="I444" t="s">
        <v>114</v>
      </c>
      <c r="J444" t="s">
        <v>1113</v>
      </c>
      <c r="K444" t="s">
        <v>1163</v>
      </c>
      <c r="L444" t="s">
        <v>1397</v>
      </c>
      <c r="M444">
        <v>3</v>
      </c>
      <c r="N444">
        <v>2</v>
      </c>
      <c r="O444" t="s">
        <v>1164</v>
      </c>
      <c r="P444" t="s">
        <v>40</v>
      </c>
      <c r="Q444" t="s">
        <v>53</v>
      </c>
      <c r="R444" t="s">
        <v>1094</v>
      </c>
      <c r="S444" t="s">
        <v>1115</v>
      </c>
      <c r="T444" t="s">
        <v>837</v>
      </c>
      <c r="U444" t="s">
        <v>226</v>
      </c>
      <c r="V444" t="s">
        <v>43</v>
      </c>
      <c r="W444" t="s">
        <v>43</v>
      </c>
      <c r="Y444" t="s">
        <v>43</v>
      </c>
      <c r="Z444" t="s">
        <v>45</v>
      </c>
      <c r="AA444" t="s">
        <v>337</v>
      </c>
      <c r="AB444" t="s">
        <v>43</v>
      </c>
      <c r="AC444" t="s">
        <v>43</v>
      </c>
      <c r="AD444" t="s">
        <v>43</v>
      </c>
      <c r="AE444" t="s">
        <v>43</v>
      </c>
      <c r="AF444" t="str">
        <f>AA444</f>
        <v>Sontheim Schulrasenplatz, Max-von-Laue-Str. 1-3, 74081 Heilbronn-Sontheim</v>
      </c>
      <c r="AG444" t="str">
        <f>TRIM(MID(AF444, FIND(", ", AF444)+2, FIND(", ", AF444, FIND(", ", AF444)+1) - FIND(", ", AF444) - 2))</f>
        <v>Max-von-Laue-Str. 1-3</v>
      </c>
      <c r="AH444" t="str">
        <f>_xlfn.TEXTBEFORE(_xlfn.TEXTAFTER(AF444, ", ", 2), " ")</f>
        <v>74081</v>
      </c>
      <c r="AI444" t="str">
        <f>_xlfn.TEXTAFTER(_xlfn.TEXTAFTER(AF444, ", ", 2), " ")</f>
        <v>Heilbronn-Sontheim</v>
      </c>
    </row>
    <row r="445" spans="1:35" x14ac:dyDescent="0.2">
      <c r="A445" t="str">
        <f>B445&amp;C445&amp;H445&amp;N445</f>
        <v>35000304TSV DuttenbergE-Junioren1</v>
      </c>
      <c r="B445" t="s">
        <v>1183</v>
      </c>
      <c r="C445" t="s">
        <v>1184</v>
      </c>
      <c r="D445" t="s">
        <v>77</v>
      </c>
      <c r="E445" t="s">
        <v>35</v>
      </c>
      <c r="F445" t="s">
        <v>36</v>
      </c>
      <c r="G445">
        <v>3</v>
      </c>
      <c r="H445" t="s">
        <v>1112</v>
      </c>
      <c r="I445" t="s">
        <v>114</v>
      </c>
      <c r="J445" t="s">
        <v>1113</v>
      </c>
      <c r="K445" t="s">
        <v>1176</v>
      </c>
      <c r="L445" t="s">
        <v>1398</v>
      </c>
      <c r="M445">
        <v>2</v>
      </c>
      <c r="N445">
        <v>1</v>
      </c>
      <c r="O445" t="s">
        <v>1185</v>
      </c>
      <c r="P445" t="s">
        <v>40</v>
      </c>
      <c r="Q445" t="s">
        <v>53</v>
      </c>
      <c r="R445" t="s">
        <v>1094</v>
      </c>
      <c r="S445" t="s">
        <v>1115</v>
      </c>
      <c r="T445" t="s">
        <v>837</v>
      </c>
      <c r="U445" t="s">
        <v>118</v>
      </c>
      <c r="V445" t="s">
        <v>43</v>
      </c>
      <c r="W445" t="s">
        <v>43</v>
      </c>
      <c r="X445" t="s">
        <v>1118</v>
      </c>
      <c r="Y445" s="4" t="s">
        <v>1186</v>
      </c>
      <c r="Z445" t="s">
        <v>45</v>
      </c>
      <c r="AA445" t="s">
        <v>1187</v>
      </c>
      <c r="AB445" t="s">
        <v>43</v>
      </c>
      <c r="AC445" t="s">
        <v>43</v>
      </c>
      <c r="AD445" t="s">
        <v>43</v>
      </c>
      <c r="AE445" t="s">
        <v>43</v>
      </c>
      <c r="AF445" t="str">
        <f>AA445</f>
        <v>Duttenberg Rasen, Zur Schön, 74177 Bad Friedrichshall-Duttenberg</v>
      </c>
      <c r="AG445" t="str">
        <f>TRIM(MID(AF445, FIND(", ", AF445)+2, FIND(", ", AF445, FIND(", ", AF445)+1) - FIND(", ", AF445) - 2))</f>
        <v>Zur Schön</v>
      </c>
      <c r="AH445" t="str">
        <f>_xlfn.TEXTBEFORE(_xlfn.TEXTAFTER(AF445, ", ", 2), " ")</f>
        <v>74177</v>
      </c>
      <c r="AI445" t="str">
        <f>_xlfn.TEXTAFTER(_xlfn.TEXTAFTER(AF445, ", ", 2), " ")</f>
        <v>Bad Friedrichshall-Duttenberg</v>
      </c>
    </row>
    <row r="446" spans="1:35" x14ac:dyDescent="0.2">
      <c r="A446" t="str">
        <f>B446&amp;C446&amp;H446&amp;N446</f>
        <v>35000520SG GundelsheimE-Junioren1</v>
      </c>
      <c r="B446" t="s">
        <v>744</v>
      </c>
      <c r="C446" t="s">
        <v>745</v>
      </c>
      <c r="D446" t="s">
        <v>77</v>
      </c>
      <c r="E446" t="s">
        <v>35</v>
      </c>
      <c r="F446" t="s">
        <v>36</v>
      </c>
      <c r="G446">
        <v>3</v>
      </c>
      <c r="H446" t="s">
        <v>1112</v>
      </c>
      <c r="I446" t="s">
        <v>114</v>
      </c>
      <c r="J446" t="s">
        <v>1113</v>
      </c>
      <c r="K446" t="s">
        <v>1176</v>
      </c>
      <c r="L446" t="s">
        <v>1398</v>
      </c>
      <c r="M446">
        <v>3</v>
      </c>
      <c r="N446">
        <v>1</v>
      </c>
      <c r="O446" t="s">
        <v>1178</v>
      </c>
      <c r="P446" t="s">
        <v>40</v>
      </c>
      <c r="Q446" t="s">
        <v>53</v>
      </c>
      <c r="R446" t="s">
        <v>1094</v>
      </c>
      <c r="S446" t="s">
        <v>1115</v>
      </c>
      <c r="T446" t="s">
        <v>974</v>
      </c>
      <c r="U446" t="s">
        <v>226</v>
      </c>
      <c r="V446" t="s">
        <v>43</v>
      </c>
      <c r="W446" t="s">
        <v>43</v>
      </c>
      <c r="Y446" t="s">
        <v>1159</v>
      </c>
      <c r="Z446" t="s">
        <v>45</v>
      </c>
      <c r="AA446" t="s">
        <v>152</v>
      </c>
      <c r="AB446" t="s">
        <v>43</v>
      </c>
      <c r="AC446" t="s">
        <v>43</v>
      </c>
      <c r="AD446" t="s">
        <v>43</v>
      </c>
      <c r="AE446" t="s">
        <v>43</v>
      </c>
      <c r="AF446" t="str">
        <f>AA446</f>
        <v>Gundelsheim Kunstrasen, Danziger Str., 74831 Gundelsheim-Zentrum</v>
      </c>
      <c r="AG446" t="str">
        <f>TRIM(MID(AF446, FIND(", ", AF446)+2, FIND(", ", AF446, FIND(", ", AF446)+1) - FIND(", ", AF446) - 2))</f>
        <v>Danziger Str.</v>
      </c>
      <c r="AH446" t="str">
        <f>_xlfn.TEXTBEFORE(_xlfn.TEXTAFTER(AF446, ", ", 2), " ")</f>
        <v>74831</v>
      </c>
      <c r="AI446" t="str">
        <f>_xlfn.TEXTAFTER(_xlfn.TEXTAFTER(AF446, ", ", 2), " ")</f>
        <v>Gundelsheim-Zentrum</v>
      </c>
    </row>
    <row r="447" spans="1:35" x14ac:dyDescent="0.2">
      <c r="A447" t="str">
        <f>B447&amp;C447&amp;H447&amp;N447</f>
        <v>35000865Spvgg MöckmühlE-Junioren2</v>
      </c>
      <c r="B447" t="s">
        <v>639</v>
      </c>
      <c r="C447" t="s">
        <v>640</v>
      </c>
      <c r="D447" t="s">
        <v>77</v>
      </c>
      <c r="E447" t="s">
        <v>35</v>
      </c>
      <c r="F447" t="s">
        <v>36</v>
      </c>
      <c r="G447">
        <v>3</v>
      </c>
      <c r="H447" t="s">
        <v>1112</v>
      </c>
      <c r="I447" t="s">
        <v>114</v>
      </c>
      <c r="J447" t="s">
        <v>1113</v>
      </c>
      <c r="K447" t="s">
        <v>1176</v>
      </c>
      <c r="L447" t="s">
        <v>1398</v>
      </c>
      <c r="M447">
        <v>7</v>
      </c>
      <c r="N447">
        <v>2</v>
      </c>
      <c r="O447" t="s">
        <v>1005</v>
      </c>
      <c r="P447" t="s">
        <v>40</v>
      </c>
      <c r="Q447" t="s">
        <v>53</v>
      </c>
      <c r="R447" t="s">
        <v>1094</v>
      </c>
      <c r="S447" t="s">
        <v>1115</v>
      </c>
      <c r="T447" t="s">
        <v>837</v>
      </c>
      <c r="U447" t="s">
        <v>226</v>
      </c>
      <c r="V447" t="s">
        <v>43</v>
      </c>
      <c r="W447" t="s">
        <v>43</v>
      </c>
      <c r="Y447" t="s">
        <v>43</v>
      </c>
      <c r="Z447" t="s">
        <v>45</v>
      </c>
      <c r="AA447" t="s">
        <v>642</v>
      </c>
      <c r="AB447" t="s">
        <v>43</v>
      </c>
      <c r="AC447" t="s">
        <v>43</v>
      </c>
      <c r="AD447" t="s">
        <v>43</v>
      </c>
      <c r="AE447" t="s">
        <v>43</v>
      </c>
      <c r="AF447" t="str">
        <f>AA447</f>
        <v>Möckmühl Rasen 1, Züttlinger Str. 1, 74219 Möckmühl</v>
      </c>
      <c r="AG447" t="str">
        <f>TRIM(MID(AF447, FIND(", ", AF447)+2, FIND(", ", AF447, FIND(", ", AF447)+1) - FIND(", ", AF447) - 2))</f>
        <v>Züttlinger Str. 1</v>
      </c>
      <c r="AH447" t="str">
        <f>_xlfn.TEXTBEFORE(_xlfn.TEXTAFTER(AF447, ", ", 2), " ")</f>
        <v>74219</v>
      </c>
      <c r="AI447" t="str">
        <f>_xlfn.TEXTAFTER(_xlfn.TEXTAFTER(AF447, ", ", 2), " ")</f>
        <v>Möckmühl</v>
      </c>
    </row>
    <row r="448" spans="1:35" x14ac:dyDescent="0.2">
      <c r="A448" t="str">
        <f>B448&amp;C448&amp;H448&amp;N448</f>
        <v>35000904SC Neckarsulm-AmorbachE-Junioren3</v>
      </c>
      <c r="B448" t="s">
        <v>112</v>
      </c>
      <c r="C448" t="s">
        <v>113</v>
      </c>
      <c r="D448" t="s">
        <v>77</v>
      </c>
      <c r="E448" t="s">
        <v>35</v>
      </c>
      <c r="F448" t="s">
        <v>36</v>
      </c>
      <c r="G448">
        <v>3</v>
      </c>
      <c r="H448" t="s">
        <v>1112</v>
      </c>
      <c r="I448" t="s">
        <v>114</v>
      </c>
      <c r="J448" t="s">
        <v>1113</v>
      </c>
      <c r="K448" t="s">
        <v>1176</v>
      </c>
      <c r="L448" t="s">
        <v>1398</v>
      </c>
      <c r="M448">
        <v>8</v>
      </c>
      <c r="N448">
        <v>3</v>
      </c>
      <c r="O448" t="s">
        <v>999</v>
      </c>
      <c r="P448" t="s">
        <v>40</v>
      </c>
      <c r="Q448" t="s">
        <v>40</v>
      </c>
      <c r="R448" t="s">
        <v>1094</v>
      </c>
      <c r="S448" t="s">
        <v>989</v>
      </c>
      <c r="T448" t="s">
        <v>974</v>
      </c>
      <c r="U448" t="s">
        <v>226</v>
      </c>
      <c r="V448" t="s">
        <v>43</v>
      </c>
      <c r="W448" t="s">
        <v>43</v>
      </c>
      <c r="Y448" t="s">
        <v>226</v>
      </c>
      <c r="Z448" t="s">
        <v>45</v>
      </c>
      <c r="AA448" t="s">
        <v>119</v>
      </c>
      <c r="AB448" t="s">
        <v>43</v>
      </c>
      <c r="AC448" t="s">
        <v>43</v>
      </c>
      <c r="AD448" t="s">
        <v>43</v>
      </c>
      <c r="AE448" t="s">
        <v>43</v>
      </c>
      <c r="AF448" t="str">
        <f>AA448</f>
        <v>Amorbach Kunstrasen, Schwabenweg 25, 74172 Neckarsulm-Amorbach</v>
      </c>
      <c r="AG448" t="str">
        <f>TRIM(MID(AF448, FIND(", ", AF448)+2, FIND(", ", AF448, FIND(", ", AF448)+1) - FIND(", ", AF448) - 2))</f>
        <v>Schwabenweg 25</v>
      </c>
      <c r="AH448" t="str">
        <f>_xlfn.TEXTBEFORE(_xlfn.TEXTAFTER(AF448, ", ", 2), " ")</f>
        <v>74172</v>
      </c>
      <c r="AI448" t="str">
        <f>_xlfn.TEXTAFTER(_xlfn.TEXTAFTER(AF448, ", ", 2), " ")</f>
        <v>Neckarsulm-Amorbach</v>
      </c>
    </row>
    <row r="449" spans="1:35" x14ac:dyDescent="0.2">
      <c r="A449" t="str">
        <f>B449&amp;C449&amp;H449&amp;N449</f>
        <v>35000923TSV NeuenstadtE-Junioren2</v>
      </c>
      <c r="B449" t="s">
        <v>141</v>
      </c>
      <c r="C449" t="s">
        <v>142</v>
      </c>
      <c r="D449" t="s">
        <v>77</v>
      </c>
      <c r="E449" t="s">
        <v>35</v>
      </c>
      <c r="F449" t="s">
        <v>36</v>
      </c>
      <c r="G449">
        <v>3</v>
      </c>
      <c r="H449" t="s">
        <v>1112</v>
      </c>
      <c r="I449" t="s">
        <v>114</v>
      </c>
      <c r="J449" t="s">
        <v>1113</v>
      </c>
      <c r="K449" t="s">
        <v>1176</v>
      </c>
      <c r="L449" t="s">
        <v>1398</v>
      </c>
      <c r="M449">
        <v>5</v>
      </c>
      <c r="N449">
        <v>2</v>
      </c>
      <c r="O449" t="s">
        <v>1001</v>
      </c>
      <c r="P449" t="s">
        <v>40</v>
      </c>
      <c r="Q449" t="s">
        <v>40</v>
      </c>
      <c r="R449" t="s">
        <v>1094</v>
      </c>
      <c r="S449" t="s">
        <v>1115</v>
      </c>
      <c r="T449" t="s">
        <v>837</v>
      </c>
      <c r="U449" t="s">
        <v>226</v>
      </c>
      <c r="V449" t="s">
        <v>43</v>
      </c>
      <c r="W449" t="s">
        <v>43</v>
      </c>
      <c r="Y449" t="s">
        <v>748</v>
      </c>
      <c r="Z449" t="s">
        <v>45</v>
      </c>
      <c r="AA449" t="s">
        <v>1160</v>
      </c>
      <c r="AB449" t="s">
        <v>43</v>
      </c>
      <c r="AC449" t="s">
        <v>43</v>
      </c>
      <c r="AD449" t="s">
        <v>43</v>
      </c>
      <c r="AE449" t="s">
        <v>43</v>
      </c>
      <c r="AF449" t="str">
        <f>AA449</f>
        <v>Neuenstadt Kunstrasen, Cleversulzbacher Str. 89, 74196 Neuenstadt am Kocher</v>
      </c>
      <c r="AG449" t="str">
        <f>TRIM(MID(AF449, FIND(", ", AF449)+2, FIND(", ", AF449, FIND(", ", AF449)+1) - FIND(", ", AF449) - 2))</f>
        <v>Cleversulzbacher Str. 89</v>
      </c>
      <c r="AH449" t="str">
        <f>_xlfn.TEXTBEFORE(_xlfn.TEXTAFTER(AF449, ", ", 2), " ")</f>
        <v>74196</v>
      </c>
      <c r="AI449" t="str">
        <f>_xlfn.TEXTAFTER(_xlfn.TEXTAFTER(AF449, ", ", 2), " ")</f>
        <v>Neuenstadt am Kocher</v>
      </c>
    </row>
    <row r="450" spans="1:35" x14ac:dyDescent="0.2">
      <c r="A450" t="str">
        <f>B450&amp;C450&amp;H450&amp;N450</f>
        <v>35001400Spfr UntergriesheimE-Junioren1</v>
      </c>
      <c r="B450" t="s">
        <v>929</v>
      </c>
      <c r="C450" t="s">
        <v>930</v>
      </c>
      <c r="D450" t="s">
        <v>77</v>
      </c>
      <c r="E450" t="s">
        <v>35</v>
      </c>
      <c r="F450" t="s">
        <v>36</v>
      </c>
      <c r="G450">
        <v>3</v>
      </c>
      <c r="H450" t="s">
        <v>1112</v>
      </c>
      <c r="I450" t="s">
        <v>114</v>
      </c>
      <c r="J450" t="s">
        <v>1113</v>
      </c>
      <c r="K450" t="s">
        <v>1176</v>
      </c>
      <c r="L450" t="s">
        <v>1398</v>
      </c>
      <c r="M450">
        <v>6</v>
      </c>
      <c r="N450">
        <v>1</v>
      </c>
      <c r="O450" t="s">
        <v>931</v>
      </c>
      <c r="P450" t="s">
        <v>40</v>
      </c>
      <c r="Q450" t="s">
        <v>53</v>
      </c>
      <c r="R450" t="s">
        <v>1094</v>
      </c>
      <c r="S450" t="s">
        <v>1115</v>
      </c>
      <c r="T450" t="s">
        <v>837</v>
      </c>
      <c r="U450" t="s">
        <v>118</v>
      </c>
      <c r="V450" t="s">
        <v>43</v>
      </c>
      <c r="W450" t="s">
        <v>43</v>
      </c>
      <c r="Y450" t="s">
        <v>43</v>
      </c>
      <c r="Z450" t="s">
        <v>45</v>
      </c>
      <c r="AA450" t="s">
        <v>933</v>
      </c>
      <c r="AB450" t="s">
        <v>43</v>
      </c>
      <c r="AC450" t="s">
        <v>43</v>
      </c>
      <c r="AD450" t="s">
        <v>43</v>
      </c>
      <c r="AE450" t="s">
        <v>43</v>
      </c>
      <c r="AF450" t="str">
        <f>AA450</f>
        <v>Untergriesheim Rasen, Austr., 74177 Bad Friedrichshall-Untergriesheim</v>
      </c>
      <c r="AG450" t="str">
        <f>TRIM(MID(AF450, FIND(", ", AF450)+2, FIND(", ", AF450, FIND(", ", AF450)+1) - FIND(", ", AF450) - 2))</f>
        <v>Austr.</v>
      </c>
      <c r="AH450" t="str">
        <f>_xlfn.TEXTBEFORE(_xlfn.TEXTAFTER(AF450, ", ", 2), " ")</f>
        <v>74177</v>
      </c>
      <c r="AI450" t="str">
        <f>_xlfn.TEXTAFTER(_xlfn.TEXTAFTER(AF450, ", ", 2), " ")</f>
        <v>Bad Friedrichshall-Untergriesheim</v>
      </c>
    </row>
    <row r="451" spans="1:35" x14ac:dyDescent="0.2">
      <c r="A451" t="str">
        <f>B451&amp;C451&amp;H451&amp;N451</f>
        <v>35001512Spfr WiddernE-Junioren1</v>
      </c>
      <c r="B451" t="s">
        <v>1099</v>
      </c>
      <c r="C451" t="s">
        <v>1100</v>
      </c>
      <c r="D451" t="s">
        <v>77</v>
      </c>
      <c r="E451" t="s">
        <v>35</v>
      </c>
      <c r="F451" t="s">
        <v>36</v>
      </c>
      <c r="G451">
        <v>3</v>
      </c>
      <c r="H451" t="s">
        <v>1112</v>
      </c>
      <c r="I451" t="s">
        <v>114</v>
      </c>
      <c r="J451" t="s">
        <v>1113</v>
      </c>
      <c r="K451" t="s">
        <v>1176</v>
      </c>
      <c r="L451" t="s">
        <v>1398</v>
      </c>
      <c r="M451">
        <v>4</v>
      </c>
      <c r="N451">
        <v>1</v>
      </c>
      <c r="O451" t="s">
        <v>1179</v>
      </c>
      <c r="P451" t="s">
        <v>40</v>
      </c>
      <c r="Q451" t="s">
        <v>40</v>
      </c>
      <c r="R451" t="s">
        <v>1094</v>
      </c>
      <c r="S451" t="s">
        <v>1115</v>
      </c>
      <c r="T451" t="s">
        <v>974</v>
      </c>
      <c r="U451" t="s">
        <v>226</v>
      </c>
      <c r="V451" t="s">
        <v>43</v>
      </c>
      <c r="W451" t="s">
        <v>43</v>
      </c>
      <c r="Y451" t="s">
        <v>1180</v>
      </c>
      <c r="Z451" t="s">
        <v>45</v>
      </c>
      <c r="AA451" t="s">
        <v>1102</v>
      </c>
      <c r="AB451" t="s">
        <v>1181</v>
      </c>
      <c r="AC451" t="s">
        <v>1182</v>
      </c>
      <c r="AD451" t="s">
        <v>43</v>
      </c>
      <c r="AE451" t="s">
        <v>43</v>
      </c>
      <c r="AF451" t="str">
        <f>AC451</f>
        <v>Jagsthausen Rasen 1, Gartenstr. 24, 74249 Jagsthausen-Zentrum</v>
      </c>
      <c r="AG451" t="str">
        <f>TRIM(MID(AF451, FIND(", ", AF451)+2, FIND(", ", AF451, FIND(", ", AF451)+1) - FIND(", ", AF451) - 2))</f>
        <v>Gartenstr. 24</v>
      </c>
      <c r="AH451" t="str">
        <f>_xlfn.TEXTBEFORE(_xlfn.TEXTAFTER(AF451, ", ", 2), " ")</f>
        <v>74249</v>
      </c>
      <c r="AI451" t="str">
        <f>_xlfn.TEXTAFTER(_xlfn.TEXTAFTER(AF451, ", ", 2), " ")</f>
        <v>Jagsthausen-Zentrum</v>
      </c>
    </row>
    <row r="452" spans="1:35" x14ac:dyDescent="0.2">
      <c r="A452" t="str">
        <f>B452&amp;C452&amp;H452&amp;N452</f>
        <v>35002099FSV Friedrichshaller SV 1898E-Junioren3</v>
      </c>
      <c r="B452" t="s">
        <v>338</v>
      </c>
      <c r="C452" t="s">
        <v>339</v>
      </c>
      <c r="D452" t="s">
        <v>77</v>
      </c>
      <c r="E452" t="s">
        <v>35</v>
      </c>
      <c r="F452" t="s">
        <v>36</v>
      </c>
      <c r="G452">
        <v>3</v>
      </c>
      <c r="H452" t="s">
        <v>1112</v>
      </c>
      <c r="I452" t="s">
        <v>114</v>
      </c>
      <c r="J452" t="s">
        <v>1113</v>
      </c>
      <c r="K452" t="s">
        <v>1176</v>
      </c>
      <c r="L452" t="s">
        <v>1398</v>
      </c>
      <c r="M452">
        <v>1</v>
      </c>
      <c r="N452">
        <v>3</v>
      </c>
      <c r="O452" t="s">
        <v>1177</v>
      </c>
      <c r="P452" t="s">
        <v>40</v>
      </c>
      <c r="Q452" t="s">
        <v>53</v>
      </c>
      <c r="R452" t="s">
        <v>1094</v>
      </c>
      <c r="S452" t="s">
        <v>1115</v>
      </c>
      <c r="T452" t="s">
        <v>974</v>
      </c>
      <c r="U452" t="s">
        <v>226</v>
      </c>
      <c r="V452" t="s">
        <v>43</v>
      </c>
      <c r="W452" t="s">
        <v>43</v>
      </c>
      <c r="Y452" t="s">
        <v>43</v>
      </c>
      <c r="Z452" t="s">
        <v>45</v>
      </c>
      <c r="AA452" t="s">
        <v>1123</v>
      </c>
      <c r="AB452" t="s">
        <v>43</v>
      </c>
      <c r="AC452" t="s">
        <v>43</v>
      </c>
      <c r="AD452" t="s">
        <v>43</v>
      </c>
      <c r="AE452" t="s">
        <v>43</v>
      </c>
      <c r="AF452" t="str">
        <f>AA452</f>
        <v>Hagenbach Rasen, Ohrnberger Str. 4, 74177 Bad Friedrichshall-Hagenbach</v>
      </c>
      <c r="AG452" t="str">
        <f>TRIM(MID(AF452, FIND(", ", AF452)+2, FIND(", ", AF452, FIND(", ", AF452)+1) - FIND(", ", AF452) - 2))</f>
        <v>Ohrnberger Str. 4</v>
      </c>
      <c r="AH452" t="str">
        <f>_xlfn.TEXTBEFORE(_xlfn.TEXTAFTER(AF452, ", ", 2), " ")</f>
        <v>74177</v>
      </c>
      <c r="AI452" t="str">
        <f>_xlfn.TEXTAFTER(_xlfn.TEXTAFTER(AF452, ", ", 2), " ")</f>
        <v>Bad Friedrichshall-Hagenbach</v>
      </c>
    </row>
    <row r="453" spans="1:35" x14ac:dyDescent="0.2">
      <c r="A453" t="str">
        <f>B453&amp;C453&amp;H453&amp;N453</f>
        <v>35000110TGV Eintracht BeilsteinE-Junioren2</v>
      </c>
      <c r="B453" t="s">
        <v>397</v>
      </c>
      <c r="C453" t="s">
        <v>398</v>
      </c>
      <c r="D453" t="s">
        <v>34</v>
      </c>
      <c r="E453" t="s">
        <v>35</v>
      </c>
      <c r="F453" t="s">
        <v>36</v>
      </c>
      <c r="G453">
        <v>3</v>
      </c>
      <c r="H453" t="s">
        <v>1112</v>
      </c>
      <c r="I453" t="s">
        <v>114</v>
      </c>
      <c r="J453" t="s">
        <v>1113</v>
      </c>
      <c r="K453" t="s">
        <v>1188</v>
      </c>
      <c r="L453" t="s">
        <v>1399</v>
      </c>
      <c r="M453">
        <v>1</v>
      </c>
      <c r="N453">
        <v>2</v>
      </c>
      <c r="O453" t="s">
        <v>1015</v>
      </c>
      <c r="P453" t="s">
        <v>40</v>
      </c>
      <c r="Q453" t="s">
        <v>53</v>
      </c>
      <c r="R453" t="s">
        <v>1094</v>
      </c>
      <c r="S453" t="s">
        <v>1115</v>
      </c>
      <c r="T453" t="s">
        <v>837</v>
      </c>
      <c r="U453" t="s">
        <v>226</v>
      </c>
      <c r="V453" t="s">
        <v>43</v>
      </c>
      <c r="W453" t="s">
        <v>43</v>
      </c>
      <c r="X453" t="s">
        <v>1118</v>
      </c>
      <c r="Y453" s="4" t="s">
        <v>1190</v>
      </c>
      <c r="Z453" t="s">
        <v>45</v>
      </c>
      <c r="AA453" t="s">
        <v>947</v>
      </c>
      <c r="AB453" t="s">
        <v>43</v>
      </c>
      <c r="AC453" t="s">
        <v>43</v>
      </c>
      <c r="AD453" t="s">
        <v>43</v>
      </c>
      <c r="AE453" t="s">
        <v>43</v>
      </c>
      <c r="AF453" t="str">
        <f>AA453</f>
        <v>Beilstein Kunstrasen, Albert-Einstein-Str. 20, 71717 Beilstein-Zentrum</v>
      </c>
      <c r="AG453" t="str">
        <f>TRIM(MID(AF453, FIND(", ", AF453)+2, FIND(", ", AF453, FIND(", ", AF453)+1) - FIND(", ", AF453) - 2))</f>
        <v>Albert-Einstein-Str. 20</v>
      </c>
      <c r="AH453" t="str">
        <f>_xlfn.TEXTBEFORE(_xlfn.TEXTAFTER(AF453, ", ", 2), " ")</f>
        <v>71717</v>
      </c>
      <c r="AI453" t="str">
        <f>_xlfn.TEXTAFTER(_xlfn.TEXTAFTER(AF453, ", ", 2), " ")</f>
        <v>Beilstein-Zentrum</v>
      </c>
    </row>
    <row r="454" spans="1:35" x14ac:dyDescent="0.2">
      <c r="A454" t="str">
        <f>B454&amp;C454&amp;H454&amp;N454</f>
        <v>35000311VfL EberstadtE-Junioren2</v>
      </c>
      <c r="B454" t="s">
        <v>458</v>
      </c>
      <c r="C454" t="s">
        <v>459</v>
      </c>
      <c r="D454" t="s">
        <v>34</v>
      </c>
      <c r="E454" t="s">
        <v>35</v>
      </c>
      <c r="F454" t="s">
        <v>36</v>
      </c>
      <c r="G454">
        <v>3</v>
      </c>
      <c r="H454" t="s">
        <v>1112</v>
      </c>
      <c r="I454" t="s">
        <v>114</v>
      </c>
      <c r="J454" t="s">
        <v>1113</v>
      </c>
      <c r="K454" t="s">
        <v>1188</v>
      </c>
      <c r="L454" t="s">
        <v>1399</v>
      </c>
      <c r="M454">
        <v>3</v>
      </c>
      <c r="N454">
        <v>2</v>
      </c>
      <c r="O454" t="s">
        <v>1189</v>
      </c>
      <c r="P454" t="s">
        <v>40</v>
      </c>
      <c r="Q454" t="s">
        <v>53</v>
      </c>
      <c r="R454" t="s">
        <v>1094</v>
      </c>
      <c r="S454" t="s">
        <v>1115</v>
      </c>
      <c r="T454" t="s">
        <v>837</v>
      </c>
      <c r="U454" t="s">
        <v>42</v>
      </c>
      <c r="V454" t="s">
        <v>43</v>
      </c>
      <c r="W454" t="s">
        <v>43</v>
      </c>
      <c r="Y454" t="s">
        <v>43</v>
      </c>
      <c r="Z454" t="s">
        <v>45</v>
      </c>
      <c r="AA454" t="s">
        <v>461</v>
      </c>
      <c r="AB454" t="s">
        <v>43</v>
      </c>
      <c r="AC454" t="s">
        <v>43</v>
      </c>
      <c r="AD454" t="s">
        <v>43</v>
      </c>
      <c r="AE454" t="s">
        <v>43</v>
      </c>
      <c r="AF454" t="str">
        <f>AA454</f>
        <v>Eberstadt Rasen 1, Am Schmalbach, 74246 Eberstadt</v>
      </c>
      <c r="AG454" t="str">
        <f>TRIM(MID(AF454, FIND(", ", AF454)+2, FIND(", ", AF454, FIND(", ", AF454)+1) - FIND(", ", AF454) - 2))</f>
        <v>Am Schmalbach</v>
      </c>
      <c r="AH454" t="str">
        <f>_xlfn.TEXTBEFORE(_xlfn.TEXTAFTER(AF454, ", ", 2), " ")</f>
        <v>74246</v>
      </c>
      <c r="AI454" t="str">
        <f>_xlfn.TEXTAFTER(_xlfn.TEXTAFTER(AF454, ", ", 2), " ")</f>
        <v>Eberstadt</v>
      </c>
    </row>
    <row r="455" spans="1:35" x14ac:dyDescent="0.2">
      <c r="A455" t="str">
        <f>B455&amp;C455&amp;H455&amp;N455</f>
        <v>35000340TSV Ellhofen (Franken)E-Junioren2</v>
      </c>
      <c r="B455" t="s">
        <v>247</v>
      </c>
      <c r="C455" t="s">
        <v>248</v>
      </c>
      <c r="D455" t="s">
        <v>34</v>
      </c>
      <c r="E455" t="s">
        <v>35</v>
      </c>
      <c r="F455" t="s">
        <v>36</v>
      </c>
      <c r="G455">
        <v>3</v>
      </c>
      <c r="H455" t="s">
        <v>1112</v>
      </c>
      <c r="I455" t="s">
        <v>114</v>
      </c>
      <c r="J455" t="s">
        <v>1113</v>
      </c>
      <c r="K455" t="s">
        <v>1188</v>
      </c>
      <c r="L455" t="s">
        <v>1399</v>
      </c>
      <c r="M455">
        <v>6</v>
      </c>
      <c r="N455">
        <v>2</v>
      </c>
      <c r="O455" t="s">
        <v>1191</v>
      </c>
      <c r="P455" t="s">
        <v>40</v>
      </c>
      <c r="Q455" t="s">
        <v>53</v>
      </c>
      <c r="R455" t="s">
        <v>1094</v>
      </c>
      <c r="S455" t="s">
        <v>989</v>
      </c>
      <c r="T455" t="s">
        <v>837</v>
      </c>
      <c r="U455" t="s">
        <v>226</v>
      </c>
      <c r="V455" t="s">
        <v>43</v>
      </c>
      <c r="W455" t="s">
        <v>43</v>
      </c>
      <c r="X455" t="s">
        <v>1012</v>
      </c>
      <c r="Y455" s="4" t="s">
        <v>1192</v>
      </c>
      <c r="Z455" t="s">
        <v>45</v>
      </c>
      <c r="AA455" t="s">
        <v>863</v>
      </c>
      <c r="AB455" t="s">
        <v>43</v>
      </c>
      <c r="AC455" t="s">
        <v>43</v>
      </c>
      <c r="AD455" t="s">
        <v>43</v>
      </c>
      <c r="AE455" t="s">
        <v>43</v>
      </c>
      <c r="AF455" t="str">
        <f>AA455</f>
        <v>Ellhofen Rasen 1, Eulenbergstr. 60, 74248 Ellhofen-Zentrum</v>
      </c>
      <c r="AG455" t="str">
        <f>TRIM(MID(AF455, FIND(", ", AF455)+2, FIND(", ", AF455, FIND(", ", AF455)+1) - FIND(", ", AF455) - 2))</f>
        <v>Eulenbergstr. 60</v>
      </c>
      <c r="AH455" t="str">
        <f>_xlfn.TEXTBEFORE(_xlfn.TEXTAFTER(AF455, ", ", 2), " ")</f>
        <v>74248</v>
      </c>
      <c r="AI455" t="str">
        <f>_xlfn.TEXTAFTER(_xlfn.TEXTAFTER(AF455, ", ", 2), " ")</f>
        <v>Ellhofen-Zentrum</v>
      </c>
    </row>
    <row r="456" spans="1:35" x14ac:dyDescent="0.2">
      <c r="A456" t="str">
        <f>B456&amp;C456&amp;H456&amp;N456</f>
        <v>35000404TV FleinE-Junioren2</v>
      </c>
      <c r="B456" t="s">
        <v>109</v>
      </c>
      <c r="C456" t="s">
        <v>110</v>
      </c>
      <c r="D456" t="s">
        <v>34</v>
      </c>
      <c r="E456" t="s">
        <v>35</v>
      </c>
      <c r="F456" t="s">
        <v>36</v>
      </c>
      <c r="G456">
        <v>3</v>
      </c>
      <c r="H456" t="s">
        <v>1112</v>
      </c>
      <c r="I456" t="s">
        <v>114</v>
      </c>
      <c r="J456" t="s">
        <v>1113</v>
      </c>
      <c r="K456" t="s">
        <v>1188</v>
      </c>
      <c r="L456" t="s">
        <v>1399</v>
      </c>
      <c r="M456">
        <v>5</v>
      </c>
      <c r="N456">
        <v>2</v>
      </c>
      <c r="O456" t="s">
        <v>990</v>
      </c>
      <c r="P456" t="s">
        <v>40</v>
      </c>
      <c r="Q456" t="s">
        <v>53</v>
      </c>
      <c r="R456" t="s">
        <v>1094</v>
      </c>
      <c r="S456" t="s">
        <v>989</v>
      </c>
      <c r="T456" t="s">
        <v>974</v>
      </c>
      <c r="U456" t="s">
        <v>226</v>
      </c>
      <c r="V456" t="s">
        <v>43</v>
      </c>
      <c r="W456" t="s">
        <v>43</v>
      </c>
      <c r="Y456" t="s">
        <v>226</v>
      </c>
      <c r="Z456" t="s">
        <v>45</v>
      </c>
      <c r="AA456" t="s">
        <v>911</v>
      </c>
      <c r="AB456" t="s">
        <v>43</v>
      </c>
      <c r="AC456" t="s">
        <v>43</v>
      </c>
      <c r="AD456" t="s">
        <v>43</v>
      </c>
      <c r="AE456" t="s">
        <v>43</v>
      </c>
      <c r="AF456" t="str">
        <f>AA456</f>
        <v>Flein Kunstrasen (Flutlicht), Talheimer Str. 1, 74223 Flein-Zentrum</v>
      </c>
      <c r="AG456" t="str">
        <f>TRIM(MID(AF456, FIND(", ", AF456)+2, FIND(", ", AF456, FIND(", ", AF456)+1) - FIND(", ", AF456) - 2))</f>
        <v>Talheimer Str. 1</v>
      </c>
      <c r="AH456" t="str">
        <f>_xlfn.TEXTBEFORE(_xlfn.TEXTAFTER(AF456, ", ", 2), " ")</f>
        <v>74223</v>
      </c>
      <c r="AI456" t="str">
        <f>_xlfn.TEXTAFTER(_xlfn.TEXTAFTER(AF456, ", ", 2), " ")</f>
        <v>Flein-Zentrum</v>
      </c>
    </row>
    <row r="457" spans="1:35" x14ac:dyDescent="0.2">
      <c r="A457" t="str">
        <f>B457&amp;C457&amp;H457&amp;N457</f>
        <v>35000799TSV LöwensteinE-Junioren1</v>
      </c>
      <c r="B457" t="s">
        <v>689</v>
      </c>
      <c r="C457" t="s">
        <v>690</v>
      </c>
      <c r="D457" t="s">
        <v>34</v>
      </c>
      <c r="E457" t="s">
        <v>35</v>
      </c>
      <c r="F457" t="s">
        <v>36</v>
      </c>
      <c r="G457">
        <v>3</v>
      </c>
      <c r="H457" t="s">
        <v>1112</v>
      </c>
      <c r="I457" t="s">
        <v>114</v>
      </c>
      <c r="J457" t="s">
        <v>1113</v>
      </c>
      <c r="K457" t="s">
        <v>1188</v>
      </c>
      <c r="L457" t="s">
        <v>1399</v>
      </c>
      <c r="M457">
        <v>2</v>
      </c>
      <c r="N457">
        <v>1</v>
      </c>
      <c r="O457" t="s">
        <v>690</v>
      </c>
      <c r="P457" t="s">
        <v>40</v>
      </c>
      <c r="Q457" t="s">
        <v>53</v>
      </c>
      <c r="R457" t="s">
        <v>1094</v>
      </c>
      <c r="S457" t="s">
        <v>1115</v>
      </c>
      <c r="T457" t="s">
        <v>837</v>
      </c>
      <c r="U457" t="s">
        <v>118</v>
      </c>
      <c r="V457" t="s">
        <v>43</v>
      </c>
      <c r="W457" t="s">
        <v>43</v>
      </c>
      <c r="Y457" t="s">
        <v>43</v>
      </c>
      <c r="Z457" t="s">
        <v>45</v>
      </c>
      <c r="AA457" t="s">
        <v>452</v>
      </c>
      <c r="AB457" t="s">
        <v>43</v>
      </c>
      <c r="AC457" t="s">
        <v>43</v>
      </c>
      <c r="AD457" t="s">
        <v>43</v>
      </c>
      <c r="AE457" t="s">
        <v>43</v>
      </c>
      <c r="AF457" t="str">
        <f>AA457</f>
        <v>Löwenstein Rasen 1, Seemühle, 74245 Löwenstein-Seemühle</v>
      </c>
      <c r="AG457" t="str">
        <f>TRIM(MID(AF457, FIND(", ", AF457)+2, FIND(", ", AF457, FIND(", ", AF457)+1) - FIND(", ", AF457) - 2))</f>
        <v>Seemühle</v>
      </c>
      <c r="AH457" t="str">
        <f>_xlfn.TEXTBEFORE(_xlfn.TEXTAFTER(AF457, ", ", 2), " ")</f>
        <v>74245</v>
      </c>
      <c r="AI457" t="str">
        <f>_xlfn.TEXTAFTER(_xlfn.TEXTAFTER(AF457, ", ", 2), " ")</f>
        <v>Löwenstein-Seemühle</v>
      </c>
    </row>
    <row r="458" spans="1:35" x14ac:dyDescent="0.2">
      <c r="A458" t="str">
        <f>B458&amp;C458&amp;H458&amp;N458</f>
        <v>35001347TSV Talheim (Franken)E-Junioren2</v>
      </c>
      <c r="B458" t="s">
        <v>492</v>
      </c>
      <c r="C458" t="s">
        <v>493</v>
      </c>
      <c r="D458" t="s">
        <v>34</v>
      </c>
      <c r="E458" t="s">
        <v>35</v>
      </c>
      <c r="F458" t="s">
        <v>36</v>
      </c>
      <c r="G458">
        <v>3</v>
      </c>
      <c r="H458" t="s">
        <v>1112</v>
      </c>
      <c r="I458" t="s">
        <v>114</v>
      </c>
      <c r="J458" t="s">
        <v>1113</v>
      </c>
      <c r="K458" t="s">
        <v>1188</v>
      </c>
      <c r="L458" t="s">
        <v>1399</v>
      </c>
      <c r="M458">
        <v>4</v>
      </c>
      <c r="N458">
        <v>2</v>
      </c>
      <c r="O458" t="s">
        <v>1193</v>
      </c>
      <c r="P458" t="s">
        <v>40</v>
      </c>
      <c r="Q458" t="s">
        <v>53</v>
      </c>
      <c r="R458" t="s">
        <v>1094</v>
      </c>
      <c r="S458" t="s">
        <v>1115</v>
      </c>
      <c r="T458" t="s">
        <v>837</v>
      </c>
      <c r="U458" t="s">
        <v>226</v>
      </c>
      <c r="V458" t="s">
        <v>43</v>
      </c>
      <c r="W458" t="s">
        <v>43</v>
      </c>
      <c r="Y458" t="s">
        <v>43</v>
      </c>
      <c r="Z458" t="s">
        <v>45</v>
      </c>
      <c r="AA458" t="s">
        <v>496</v>
      </c>
      <c r="AB458" t="s">
        <v>43</v>
      </c>
      <c r="AC458" t="s">
        <v>43</v>
      </c>
      <c r="AD458" t="s">
        <v>43</v>
      </c>
      <c r="AE458" t="s">
        <v>43</v>
      </c>
      <c r="AF458" t="str">
        <f>AA458</f>
        <v>Talheim Rasen, Sontheimer Str., 74388 Talheim-Zentrum</v>
      </c>
      <c r="AG458" t="str">
        <f>TRIM(MID(AF458, FIND(", ", AF458)+2, FIND(", ", AF458, FIND(", ", AF458)+1) - FIND(", ", AF458) - 2))</f>
        <v>Sontheimer Str.</v>
      </c>
      <c r="AH458" t="str">
        <f>_xlfn.TEXTBEFORE(_xlfn.TEXTAFTER(AF458, ", ", 2), " ")</f>
        <v>74388</v>
      </c>
      <c r="AI458" t="str">
        <f>_xlfn.TEXTAFTER(_xlfn.TEXTAFTER(AF458, ", ", 2), " ")</f>
        <v>Talheim-Zentrum</v>
      </c>
    </row>
    <row r="459" spans="1:35" x14ac:dyDescent="0.2">
      <c r="A459" t="str">
        <f>B459&amp;C459&amp;H459&amp;N459</f>
        <v>35001402TSV UntergruppenbachE-Junioren1</v>
      </c>
      <c r="B459" t="s">
        <v>232</v>
      </c>
      <c r="C459" t="s">
        <v>233</v>
      </c>
      <c r="D459" t="s">
        <v>34</v>
      </c>
      <c r="E459" t="s">
        <v>35</v>
      </c>
      <c r="F459" t="s">
        <v>36</v>
      </c>
      <c r="G459">
        <v>3</v>
      </c>
      <c r="H459" t="s">
        <v>1112</v>
      </c>
      <c r="I459" t="s">
        <v>114</v>
      </c>
      <c r="J459" t="s">
        <v>1113</v>
      </c>
      <c r="K459" t="s">
        <v>1188</v>
      </c>
      <c r="L459" t="s">
        <v>1399</v>
      </c>
      <c r="M459">
        <v>8</v>
      </c>
      <c r="N459">
        <v>1</v>
      </c>
      <c r="O459" t="s">
        <v>233</v>
      </c>
      <c r="P459" t="s">
        <v>40</v>
      </c>
      <c r="Q459" t="s">
        <v>40</v>
      </c>
      <c r="R459" t="s">
        <v>1094</v>
      </c>
      <c r="S459" t="s">
        <v>1115</v>
      </c>
      <c r="T459" t="s">
        <v>837</v>
      </c>
      <c r="U459" t="s">
        <v>226</v>
      </c>
      <c r="V459" t="s">
        <v>43</v>
      </c>
      <c r="W459" t="s">
        <v>43</v>
      </c>
      <c r="X459" t="s">
        <v>906</v>
      </c>
      <c r="Y459" s="4" t="s">
        <v>1194</v>
      </c>
      <c r="Z459" t="s">
        <v>45</v>
      </c>
      <c r="AA459" t="s">
        <v>908</v>
      </c>
      <c r="AB459" t="s">
        <v>43</v>
      </c>
      <c r="AC459" t="s">
        <v>43</v>
      </c>
      <c r="AD459" t="s">
        <v>43</v>
      </c>
      <c r="AE459" t="s">
        <v>43</v>
      </c>
      <c r="AF459" t="str">
        <f>AA459</f>
        <v>Untergruppenbach Rasen 2 (Nebenplatz am Sportheim), Obergruppenbacher Str., 74199 Untergruppenbach-Zentrum</v>
      </c>
      <c r="AG459" t="str">
        <f>TRIM(MID(AF459, FIND(", ", AF459)+2, FIND(", ", AF459, FIND(", ", AF459)+1) - FIND(", ", AF459) - 2))</f>
        <v>Obergruppenbacher Str.</v>
      </c>
      <c r="AH459" t="str">
        <f>_xlfn.TEXTBEFORE(_xlfn.TEXTAFTER(AF459, ", ", 2), " ")</f>
        <v>74199</v>
      </c>
      <c r="AI459" t="str">
        <f>_xlfn.TEXTAFTER(_xlfn.TEXTAFTER(AF459, ", ", 2), " ")</f>
        <v>Untergruppenbach-Zentrum</v>
      </c>
    </row>
    <row r="460" spans="1:35" x14ac:dyDescent="0.2">
      <c r="A460" t="str">
        <f>B460&amp;C460&amp;H460&amp;N460</f>
        <v>35001490TSV WeinsbergE-Junioren1</v>
      </c>
      <c r="B460" t="s">
        <v>235</v>
      </c>
      <c r="C460" t="s">
        <v>236</v>
      </c>
      <c r="D460" t="s">
        <v>34</v>
      </c>
      <c r="E460" t="s">
        <v>35</v>
      </c>
      <c r="F460" t="s">
        <v>36</v>
      </c>
      <c r="G460">
        <v>3</v>
      </c>
      <c r="H460" t="s">
        <v>1112</v>
      </c>
      <c r="I460" t="s">
        <v>114</v>
      </c>
      <c r="J460" t="s">
        <v>1113</v>
      </c>
      <c r="K460" t="s">
        <v>1188</v>
      </c>
      <c r="L460" t="s">
        <v>1399</v>
      </c>
      <c r="M460">
        <v>7</v>
      </c>
      <c r="N460">
        <v>1</v>
      </c>
      <c r="O460" t="s">
        <v>941</v>
      </c>
      <c r="P460" t="s">
        <v>40</v>
      </c>
      <c r="Q460" t="s">
        <v>40</v>
      </c>
      <c r="R460" t="s">
        <v>1094</v>
      </c>
      <c r="S460" t="s">
        <v>1115</v>
      </c>
      <c r="T460" t="s">
        <v>837</v>
      </c>
      <c r="U460" t="s">
        <v>118</v>
      </c>
      <c r="V460" t="s">
        <v>43</v>
      </c>
      <c r="W460" t="s">
        <v>43</v>
      </c>
      <c r="Y460" t="s">
        <v>43</v>
      </c>
      <c r="Z460" t="s">
        <v>45</v>
      </c>
      <c r="AA460" t="s">
        <v>465</v>
      </c>
      <c r="AB460" t="s">
        <v>43</v>
      </c>
      <c r="AC460" t="s">
        <v>43</v>
      </c>
      <c r="AD460" t="s">
        <v>43</v>
      </c>
      <c r="AE460" t="s">
        <v>43</v>
      </c>
      <c r="AF460" t="str">
        <f>AA460</f>
        <v>Weinsberg Rasen 1, Rappenhofweg, 74189 Weinsberg-Zentrum</v>
      </c>
      <c r="AG460" t="str">
        <f>TRIM(MID(AF460, FIND(", ", AF460)+2, FIND(", ", AF460, FIND(", ", AF460)+1) - FIND(", ", AF460) - 2))</f>
        <v>Rappenhofweg</v>
      </c>
      <c r="AH460" t="str">
        <f>_xlfn.TEXTBEFORE(_xlfn.TEXTAFTER(AF460, ", ", 2), " ")</f>
        <v>74189</v>
      </c>
      <c r="AI460" t="str">
        <f>_xlfn.TEXTAFTER(_xlfn.TEXTAFTER(AF460, ", ", 2), " ")</f>
        <v>Weinsberg-Zentrum</v>
      </c>
    </row>
    <row r="461" spans="1:35" x14ac:dyDescent="0.2">
      <c r="A461" t="str">
        <f>B461&amp;C461&amp;H461&amp;N461</f>
        <v>35000147TSV BiberachE-Junioren1</v>
      </c>
      <c r="B461" t="s">
        <v>1035</v>
      </c>
      <c r="C461" t="s">
        <v>1036</v>
      </c>
      <c r="D461" t="s">
        <v>34</v>
      </c>
      <c r="E461" t="s">
        <v>35</v>
      </c>
      <c r="F461" t="s">
        <v>36</v>
      </c>
      <c r="G461">
        <v>3</v>
      </c>
      <c r="H461" t="s">
        <v>1112</v>
      </c>
      <c r="I461" t="s">
        <v>114</v>
      </c>
      <c r="J461" t="s">
        <v>1113</v>
      </c>
      <c r="K461" t="s">
        <v>1195</v>
      </c>
      <c r="L461" t="s">
        <v>1400</v>
      </c>
      <c r="M461">
        <v>5</v>
      </c>
      <c r="N461">
        <v>1</v>
      </c>
      <c r="O461" t="s">
        <v>1197</v>
      </c>
      <c r="P461" t="s">
        <v>40</v>
      </c>
      <c r="Q461" t="s">
        <v>40</v>
      </c>
      <c r="R461" t="s">
        <v>1094</v>
      </c>
      <c r="S461" t="s">
        <v>1115</v>
      </c>
      <c r="T461" t="s">
        <v>837</v>
      </c>
      <c r="U461" t="s">
        <v>226</v>
      </c>
      <c r="V461" t="s">
        <v>43</v>
      </c>
      <c r="W461" t="s">
        <v>43</v>
      </c>
      <c r="Y461" t="s">
        <v>1198</v>
      </c>
      <c r="Z461" t="s">
        <v>45</v>
      </c>
      <c r="AA461" t="s">
        <v>1038</v>
      </c>
      <c r="AB461" t="s">
        <v>43</v>
      </c>
      <c r="AC461" t="s">
        <v>43</v>
      </c>
      <c r="AD461" t="s">
        <v>43</v>
      </c>
      <c r="AE461" t="s">
        <v>43</v>
      </c>
      <c r="AF461" t="str">
        <f>AA461</f>
        <v>Biberach Rasen 1 (Stadion), Bibersteige 19, 74078 Heilbronn-Biberach</v>
      </c>
      <c r="AG461" t="str">
        <f>TRIM(MID(AF461, FIND(", ", AF461)+2, FIND(", ", AF461, FIND(", ", AF461)+1) - FIND(", ", AF461) - 2))</f>
        <v>Bibersteige 19</v>
      </c>
      <c r="AH461" t="str">
        <f>_xlfn.TEXTBEFORE(_xlfn.TEXTAFTER(AF461, ", ", 2), " ")</f>
        <v>74078</v>
      </c>
      <c r="AI461" t="str">
        <f>_xlfn.TEXTAFTER(_xlfn.TEXTAFTER(AF461, ", ", 2), " ")</f>
        <v>Heilbronn-Biberach</v>
      </c>
    </row>
    <row r="462" spans="1:35" x14ac:dyDescent="0.2">
      <c r="A462" t="str">
        <f>B462&amp;C462&amp;H462&amp;N462</f>
        <v>35000186SC BöckingenE-Junioren1</v>
      </c>
      <c r="B462" t="s">
        <v>238</v>
      </c>
      <c r="C462" t="s">
        <v>239</v>
      </c>
      <c r="D462" t="s">
        <v>34</v>
      </c>
      <c r="E462" t="s">
        <v>35</v>
      </c>
      <c r="F462" t="s">
        <v>36</v>
      </c>
      <c r="G462">
        <v>3</v>
      </c>
      <c r="H462" t="s">
        <v>1112</v>
      </c>
      <c r="I462" t="s">
        <v>114</v>
      </c>
      <c r="J462" t="s">
        <v>1113</v>
      </c>
      <c r="K462" t="s">
        <v>1195</v>
      </c>
      <c r="L462" t="s">
        <v>1400</v>
      </c>
      <c r="M462">
        <v>1</v>
      </c>
      <c r="N462">
        <v>1</v>
      </c>
      <c r="O462" t="s">
        <v>239</v>
      </c>
      <c r="P462" t="s">
        <v>40</v>
      </c>
      <c r="Q462" t="s">
        <v>53</v>
      </c>
      <c r="R462" t="s">
        <v>1094</v>
      </c>
      <c r="S462" t="s">
        <v>1115</v>
      </c>
      <c r="T462" t="s">
        <v>1000</v>
      </c>
      <c r="U462" t="s">
        <v>226</v>
      </c>
      <c r="V462" t="s">
        <v>43</v>
      </c>
      <c r="W462" t="s">
        <v>43</v>
      </c>
      <c r="Y462" t="s">
        <v>242</v>
      </c>
      <c r="Z462" t="s">
        <v>45</v>
      </c>
      <c r="AA462" t="s">
        <v>89</v>
      </c>
      <c r="AB462" t="s">
        <v>43</v>
      </c>
      <c r="AC462" t="s">
        <v>43</v>
      </c>
      <c r="AD462" t="s">
        <v>43</v>
      </c>
      <c r="AE462" t="s">
        <v>43</v>
      </c>
      <c r="AF462" t="str">
        <f>AA462</f>
        <v>Böckingen (SC) Kunstrasen, Viehweide 5, 74080 Heilbronn-Böckingen</v>
      </c>
      <c r="AG462" t="str">
        <f>TRIM(MID(AF462, FIND(", ", AF462)+2, FIND(", ", AF462, FIND(", ", AF462)+1) - FIND(", ", AF462) - 2))</f>
        <v>Viehweide 5</v>
      </c>
      <c r="AH462" t="str">
        <f>_xlfn.TEXTBEFORE(_xlfn.TEXTAFTER(AF462, ", ", 2), " ")</f>
        <v>74080</v>
      </c>
      <c r="AI462" t="str">
        <f>_xlfn.TEXTAFTER(_xlfn.TEXTAFTER(AF462, ", ", 2), " ")</f>
        <v>Heilbronn-Böckingen</v>
      </c>
    </row>
    <row r="463" spans="1:35" x14ac:dyDescent="0.2">
      <c r="A463" t="str">
        <f>B463&amp;C463&amp;H463&amp;N463</f>
        <v>35000187TG BöckingenE-Junioren2</v>
      </c>
      <c r="B463" t="s">
        <v>229</v>
      </c>
      <c r="C463" t="s">
        <v>230</v>
      </c>
      <c r="D463" t="s">
        <v>34</v>
      </c>
      <c r="E463" t="s">
        <v>35</v>
      </c>
      <c r="F463" t="s">
        <v>36</v>
      </c>
      <c r="G463">
        <v>3</v>
      </c>
      <c r="H463" t="s">
        <v>1112</v>
      </c>
      <c r="I463" t="s">
        <v>114</v>
      </c>
      <c r="J463" t="s">
        <v>1113</v>
      </c>
      <c r="K463" t="s">
        <v>1195</v>
      </c>
      <c r="L463" t="s">
        <v>1400</v>
      </c>
      <c r="M463">
        <v>2</v>
      </c>
      <c r="N463">
        <v>2</v>
      </c>
      <c r="O463" t="s">
        <v>1031</v>
      </c>
      <c r="P463" t="s">
        <v>40</v>
      </c>
      <c r="Q463" t="s">
        <v>53</v>
      </c>
      <c r="R463" t="s">
        <v>1094</v>
      </c>
      <c r="S463" t="s">
        <v>1115</v>
      </c>
      <c r="T463" t="s">
        <v>837</v>
      </c>
      <c r="U463" t="s">
        <v>226</v>
      </c>
      <c r="V463" t="s">
        <v>43</v>
      </c>
      <c r="W463" t="s">
        <v>43</v>
      </c>
      <c r="Y463" t="s">
        <v>43</v>
      </c>
      <c r="Z463" t="s">
        <v>45</v>
      </c>
      <c r="AA463" t="s">
        <v>231</v>
      </c>
      <c r="AB463" t="s">
        <v>43</v>
      </c>
      <c r="AC463" t="s">
        <v>43</v>
      </c>
      <c r="AD463" t="s">
        <v>43</v>
      </c>
      <c r="AE463" t="s">
        <v>43</v>
      </c>
      <c r="AF463" t="str">
        <f>AA463</f>
        <v>Böckingen (TG) Viehweide Kunstrasen, Viehweide 20, 74080 Heilbronn-Böckingen</v>
      </c>
      <c r="AG463" t="str">
        <f>TRIM(MID(AF463, FIND(", ", AF463)+2, FIND(", ", AF463, FIND(", ", AF463)+1) - FIND(", ", AF463) - 2))</f>
        <v>Viehweide 20</v>
      </c>
      <c r="AH463" t="str">
        <f>_xlfn.TEXTBEFORE(_xlfn.TEXTAFTER(AF463, ", ", 2), " ")</f>
        <v>74080</v>
      </c>
      <c r="AI463" t="str">
        <f>_xlfn.TEXTAFTER(_xlfn.TEXTAFTER(AF463, ", ", 2), " ")</f>
        <v>Heilbronn-Böckingen</v>
      </c>
    </row>
    <row r="464" spans="1:35" x14ac:dyDescent="0.2">
      <c r="A464" t="str">
        <f>B464&amp;C464&amp;H464&amp;N464</f>
        <v>35000565ASV HeilbronnE-Junioren1</v>
      </c>
      <c r="B464" t="s">
        <v>895</v>
      </c>
      <c r="C464" t="s">
        <v>896</v>
      </c>
      <c r="D464" t="s">
        <v>34</v>
      </c>
      <c r="E464" t="s">
        <v>35</v>
      </c>
      <c r="F464" t="s">
        <v>36</v>
      </c>
      <c r="G464">
        <v>3</v>
      </c>
      <c r="H464" t="s">
        <v>1112</v>
      </c>
      <c r="I464" t="s">
        <v>114</v>
      </c>
      <c r="J464" t="s">
        <v>1113</v>
      </c>
      <c r="K464" t="s">
        <v>1195</v>
      </c>
      <c r="L464" t="s">
        <v>1400</v>
      </c>
      <c r="M464">
        <v>4</v>
      </c>
      <c r="N464">
        <v>1</v>
      </c>
      <c r="O464" t="s">
        <v>899</v>
      </c>
      <c r="P464" t="s">
        <v>40</v>
      </c>
      <c r="Q464" t="s">
        <v>40</v>
      </c>
      <c r="R464" t="s">
        <v>1094</v>
      </c>
      <c r="S464" t="s">
        <v>1115</v>
      </c>
      <c r="T464" t="s">
        <v>849</v>
      </c>
      <c r="U464" t="s">
        <v>118</v>
      </c>
      <c r="V464" t="s">
        <v>43</v>
      </c>
      <c r="W464" t="s">
        <v>43</v>
      </c>
      <c r="X464" t="s">
        <v>900</v>
      </c>
      <c r="Y464" s="4" t="s">
        <v>901</v>
      </c>
      <c r="Z464" t="s">
        <v>45</v>
      </c>
      <c r="AA464" t="s">
        <v>902</v>
      </c>
      <c r="AB464" t="s">
        <v>43</v>
      </c>
      <c r="AC464" t="s">
        <v>43</v>
      </c>
      <c r="AD464" t="s">
        <v>43</v>
      </c>
      <c r="AE464" t="s">
        <v>43</v>
      </c>
      <c r="AF464" t="str">
        <f>AA464</f>
        <v>Wertwiesen (ASV) Rasen, Wertwiesen 6, 74081 Heilbronn-Sontheim</v>
      </c>
      <c r="AG464" t="str">
        <f>TRIM(MID(AF464, FIND(", ", AF464)+2, FIND(", ", AF464, FIND(", ", AF464)+1) - FIND(", ", AF464) - 2))</f>
        <v>Wertwiesen 6</v>
      </c>
      <c r="AH464" t="str">
        <f>_xlfn.TEXTBEFORE(_xlfn.TEXTAFTER(AF464, ", ", 2), " ")</f>
        <v>74081</v>
      </c>
      <c r="AI464" t="str">
        <f>_xlfn.TEXTAFTER(_xlfn.TEXTAFTER(AF464, ", ", 2), " ")</f>
        <v>Heilbronn-Sontheim</v>
      </c>
    </row>
    <row r="465" spans="1:35" x14ac:dyDescent="0.2">
      <c r="A465" t="str">
        <f>B465&amp;C465&amp;H465&amp;N465</f>
        <v>35000905Neckarsulmer Sport-UnionE-Junioren2</v>
      </c>
      <c r="B465" t="s">
        <v>97</v>
      </c>
      <c r="C465" t="s">
        <v>98</v>
      </c>
      <c r="D465" t="s">
        <v>34</v>
      </c>
      <c r="E465" t="s">
        <v>35</v>
      </c>
      <c r="F465" t="s">
        <v>36</v>
      </c>
      <c r="G465">
        <v>3</v>
      </c>
      <c r="H465" t="s">
        <v>1112</v>
      </c>
      <c r="I465" t="s">
        <v>114</v>
      </c>
      <c r="J465" t="s">
        <v>1113</v>
      </c>
      <c r="K465" t="s">
        <v>1195</v>
      </c>
      <c r="L465" t="s">
        <v>1400</v>
      </c>
      <c r="M465">
        <v>3</v>
      </c>
      <c r="N465">
        <v>2</v>
      </c>
      <c r="O465" t="s">
        <v>705</v>
      </c>
      <c r="P465" t="s">
        <v>40</v>
      </c>
      <c r="Q465" t="s">
        <v>40</v>
      </c>
      <c r="R465" t="s">
        <v>1094</v>
      </c>
      <c r="S465" t="s">
        <v>1115</v>
      </c>
      <c r="T465" t="s">
        <v>837</v>
      </c>
      <c r="U465" t="s">
        <v>226</v>
      </c>
      <c r="V465" t="s">
        <v>43</v>
      </c>
      <c r="W465" t="s">
        <v>43</v>
      </c>
      <c r="Y465" t="s">
        <v>43</v>
      </c>
      <c r="Z465" t="s">
        <v>45</v>
      </c>
      <c r="AA465" t="s">
        <v>1136</v>
      </c>
      <c r="AB465" t="s">
        <v>43</v>
      </c>
      <c r="AC465" t="s">
        <v>43</v>
      </c>
      <c r="AD465" t="s">
        <v>43</v>
      </c>
      <c r="AE465" t="s">
        <v>43</v>
      </c>
      <c r="AF465" t="str">
        <f>AA465</f>
        <v>Neckarsulm Pichterich Kunstrasen (Kleinfeld), Pichterichstr. 71, 74172 Neckarsulm</v>
      </c>
      <c r="AG465" t="str">
        <f>TRIM(MID(AF465, FIND(", ", AF465)+2, FIND(", ", AF465, FIND(", ", AF465)+1) - FIND(", ", AF465) - 2))</f>
        <v>Pichterichstr. 71</v>
      </c>
      <c r="AH465" t="str">
        <f>_xlfn.TEXTBEFORE(_xlfn.TEXTAFTER(AF465, ", ", 2), " ")</f>
        <v>74172</v>
      </c>
      <c r="AI465" t="str">
        <f>_xlfn.TEXTAFTER(_xlfn.TEXTAFTER(AF465, ", ", 2), " ")</f>
        <v>Neckarsulm</v>
      </c>
    </row>
    <row r="466" spans="1:35" x14ac:dyDescent="0.2">
      <c r="A466" t="str">
        <f>B466&amp;C466&amp;H466&amp;N466</f>
        <v>35002168TSG HeilbronnE-Junioren2</v>
      </c>
      <c r="B466" t="s">
        <v>349</v>
      </c>
      <c r="C466" t="s">
        <v>350</v>
      </c>
      <c r="D466" t="s">
        <v>34</v>
      </c>
      <c r="E466" t="s">
        <v>35</v>
      </c>
      <c r="F466" t="s">
        <v>36</v>
      </c>
      <c r="G466">
        <v>3</v>
      </c>
      <c r="H466" t="s">
        <v>1112</v>
      </c>
      <c r="I466" t="s">
        <v>114</v>
      </c>
      <c r="J466" t="s">
        <v>1113</v>
      </c>
      <c r="K466" t="s">
        <v>1195</v>
      </c>
      <c r="L466" t="s">
        <v>1400</v>
      </c>
      <c r="M466">
        <v>6</v>
      </c>
      <c r="N466">
        <v>2</v>
      </c>
      <c r="O466" t="s">
        <v>754</v>
      </c>
      <c r="P466" t="s">
        <v>40</v>
      </c>
      <c r="Q466" t="s">
        <v>53</v>
      </c>
      <c r="R466" t="s">
        <v>1094</v>
      </c>
      <c r="S466" t="s">
        <v>910</v>
      </c>
      <c r="T466" t="s">
        <v>837</v>
      </c>
      <c r="U466" t="s">
        <v>226</v>
      </c>
      <c r="V466" t="s">
        <v>43</v>
      </c>
      <c r="W466" t="s">
        <v>43</v>
      </c>
      <c r="X466" t="s">
        <v>1128</v>
      </c>
      <c r="Y466" s="4" t="s">
        <v>1129</v>
      </c>
      <c r="Z466" t="s">
        <v>45</v>
      </c>
      <c r="AA466" t="s">
        <v>351</v>
      </c>
      <c r="AB466" t="s">
        <v>43</v>
      </c>
      <c r="AC466" t="s">
        <v>43</v>
      </c>
      <c r="AD466" t="s">
        <v>43</v>
      </c>
      <c r="AE466" t="s">
        <v>43</v>
      </c>
      <c r="AF466" t="str">
        <f>AA466</f>
        <v>Wertwiesen (TSG) Rasen 1, Wertwiesen 8, 74081 Heilbronn-Sontheim</v>
      </c>
      <c r="AG466" t="str">
        <f>TRIM(MID(AF466, FIND(", ", AF466)+2, FIND(", ", AF466, FIND(", ", AF466)+1) - FIND(", ", AF466) - 2))</f>
        <v>Wertwiesen 8</v>
      </c>
      <c r="AH466" t="str">
        <f>_xlfn.TEXTBEFORE(_xlfn.TEXTAFTER(AF466, ", ", 2), " ")</f>
        <v>74081</v>
      </c>
      <c r="AI466" t="str">
        <f>_xlfn.TEXTAFTER(_xlfn.TEXTAFTER(AF466, ", ", 2), " ")</f>
        <v>Heilbronn-Sontheim</v>
      </c>
    </row>
    <row r="467" spans="1:35" x14ac:dyDescent="0.2">
      <c r="A467" t="str">
        <f>B467&amp;C467&amp;H467&amp;N467</f>
        <v>35002198FC Union HeilbronnE-Junioren3</v>
      </c>
      <c r="B467" t="s">
        <v>85</v>
      </c>
      <c r="C467" t="s">
        <v>86</v>
      </c>
      <c r="D467" t="s">
        <v>34</v>
      </c>
      <c r="E467" t="s">
        <v>35</v>
      </c>
      <c r="F467" t="s">
        <v>36</v>
      </c>
      <c r="G467">
        <v>3</v>
      </c>
      <c r="H467" t="s">
        <v>1112</v>
      </c>
      <c r="I467" t="s">
        <v>114</v>
      </c>
      <c r="J467" t="s">
        <v>1113</v>
      </c>
      <c r="K467" t="s">
        <v>1195</v>
      </c>
      <c r="L467" t="s">
        <v>1400</v>
      </c>
      <c r="M467">
        <v>8</v>
      </c>
      <c r="N467">
        <v>3</v>
      </c>
      <c r="O467" t="s">
        <v>1109</v>
      </c>
      <c r="P467" t="s">
        <v>40</v>
      </c>
      <c r="Q467" t="s">
        <v>40</v>
      </c>
      <c r="R467" t="s">
        <v>1094</v>
      </c>
      <c r="S467" t="s">
        <v>1115</v>
      </c>
      <c r="T467" t="s">
        <v>974</v>
      </c>
      <c r="U467" t="s">
        <v>226</v>
      </c>
      <c r="V467" t="s">
        <v>43</v>
      </c>
      <c r="W467" t="s">
        <v>43</v>
      </c>
      <c r="Y467" t="s">
        <v>1196</v>
      </c>
      <c r="Z467" t="s">
        <v>45</v>
      </c>
      <c r="AA467" t="s">
        <v>1136</v>
      </c>
      <c r="AB467" t="s">
        <v>43</v>
      </c>
      <c r="AC467" t="s">
        <v>43</v>
      </c>
      <c r="AD467" t="s">
        <v>43</v>
      </c>
      <c r="AE467" t="s">
        <v>43</v>
      </c>
      <c r="AF467" t="str">
        <f>AA467</f>
        <v>Neckarsulm Pichterich Kunstrasen (Kleinfeld), Pichterichstr. 71, 74172 Neckarsulm</v>
      </c>
      <c r="AG467" t="str">
        <f>TRIM(MID(AF467, FIND(", ", AF467)+2, FIND(", ", AF467, FIND(", ", AF467)+1) - FIND(", ", AF467) - 2))</f>
        <v>Pichterichstr. 71</v>
      </c>
      <c r="AH467" t="str">
        <f>_xlfn.TEXTBEFORE(_xlfn.TEXTAFTER(AF467, ", ", 2), " ")</f>
        <v>74172</v>
      </c>
      <c r="AI467" t="str">
        <f>_xlfn.TEXTAFTER(_xlfn.TEXTAFTER(AF467, ", ", 2), " ")</f>
        <v>Neckarsulm</v>
      </c>
    </row>
    <row r="468" spans="1:35" x14ac:dyDescent="0.2">
      <c r="A468" t="str">
        <f>B468&amp;C468&amp;H468&amp;N468</f>
        <v>35000967VfL ObereisesheimE-Junioren1</v>
      </c>
      <c r="B468" t="s">
        <v>467</v>
      </c>
      <c r="C468" t="s">
        <v>468</v>
      </c>
      <c r="D468" t="s">
        <v>77</v>
      </c>
      <c r="E468" t="s">
        <v>35</v>
      </c>
      <c r="F468" t="s">
        <v>36</v>
      </c>
      <c r="G468">
        <v>3</v>
      </c>
      <c r="H468" t="s">
        <v>1112</v>
      </c>
      <c r="I468" t="s">
        <v>114</v>
      </c>
      <c r="J468" t="s">
        <v>1113</v>
      </c>
      <c r="K468" t="s">
        <v>1195</v>
      </c>
      <c r="L468" t="s">
        <v>1400</v>
      </c>
      <c r="M468">
        <v>7</v>
      </c>
      <c r="N468">
        <v>1</v>
      </c>
      <c r="O468" t="s">
        <v>1019</v>
      </c>
      <c r="P468" t="s">
        <v>40</v>
      </c>
      <c r="Q468" t="s">
        <v>40</v>
      </c>
      <c r="R468" t="s">
        <v>1094</v>
      </c>
      <c r="S468" t="s">
        <v>1115</v>
      </c>
      <c r="T468" t="s">
        <v>837</v>
      </c>
      <c r="U468" t="s">
        <v>226</v>
      </c>
      <c r="V468" t="s">
        <v>43</v>
      </c>
      <c r="W468" t="s">
        <v>43</v>
      </c>
      <c r="Y468" t="s">
        <v>1199</v>
      </c>
      <c r="Z468" t="s">
        <v>45</v>
      </c>
      <c r="AA468" t="s">
        <v>1008</v>
      </c>
      <c r="AB468" t="s">
        <v>43</v>
      </c>
      <c r="AC468" t="s">
        <v>43</v>
      </c>
      <c r="AD468" t="s">
        <v>43</v>
      </c>
      <c r="AE468" t="s">
        <v>43</v>
      </c>
      <c r="AF468" t="str">
        <f>AA468</f>
        <v>Obereisesheim Rasen 2, Eberwinstr. 26, 74172 Neckarsulm-Obereisesheim</v>
      </c>
      <c r="AG468" t="str">
        <f>TRIM(MID(AF468, FIND(", ", AF468)+2, FIND(", ", AF468, FIND(", ", AF468)+1) - FIND(", ", AF468) - 2))</f>
        <v>Eberwinstr. 26</v>
      </c>
      <c r="AH468" t="str">
        <f>_xlfn.TEXTBEFORE(_xlfn.TEXTAFTER(AF468, ", ", 2), " ")</f>
        <v>74172</v>
      </c>
      <c r="AI468" t="str">
        <f>_xlfn.TEXTAFTER(_xlfn.TEXTAFTER(AF468, ", ", 2), " ")</f>
        <v>Neckarsulm-Obereisesheim</v>
      </c>
    </row>
    <row r="469" spans="1:35" x14ac:dyDescent="0.2">
      <c r="A469" t="str">
        <f>B469&amp;C469&amp;H469&amp;N469</f>
        <v>35000187TG BöckingenE-Junioren3</v>
      </c>
      <c r="B469" t="s">
        <v>229</v>
      </c>
      <c r="C469" t="s">
        <v>230</v>
      </c>
      <c r="D469" t="s">
        <v>34</v>
      </c>
      <c r="E469" t="s">
        <v>35</v>
      </c>
      <c r="F469" t="s">
        <v>36</v>
      </c>
      <c r="G469">
        <v>3</v>
      </c>
      <c r="H469" t="s">
        <v>1112</v>
      </c>
      <c r="I469" t="s">
        <v>114</v>
      </c>
      <c r="J469" t="s">
        <v>1113</v>
      </c>
      <c r="K469" t="s">
        <v>1200</v>
      </c>
      <c r="L469" t="s">
        <v>1401</v>
      </c>
      <c r="M469">
        <v>2</v>
      </c>
      <c r="N469">
        <v>3</v>
      </c>
      <c r="O469" t="s">
        <v>1208</v>
      </c>
      <c r="P469" t="s">
        <v>40</v>
      </c>
      <c r="Q469" t="s">
        <v>53</v>
      </c>
      <c r="R469" t="s">
        <v>1094</v>
      </c>
      <c r="S469" t="s">
        <v>1115</v>
      </c>
      <c r="T469" t="s">
        <v>837</v>
      </c>
      <c r="U469" t="s">
        <v>226</v>
      </c>
      <c r="V469" t="s">
        <v>43</v>
      </c>
      <c r="W469" t="s">
        <v>43</v>
      </c>
      <c r="Y469" t="s">
        <v>43</v>
      </c>
      <c r="Z469" t="s">
        <v>45</v>
      </c>
      <c r="AA469" t="s">
        <v>231</v>
      </c>
      <c r="AB469" t="s">
        <v>43</v>
      </c>
      <c r="AC469" t="s">
        <v>43</v>
      </c>
      <c r="AD469" t="s">
        <v>43</v>
      </c>
      <c r="AE469" t="s">
        <v>43</v>
      </c>
      <c r="AF469" t="str">
        <f>AA469</f>
        <v>Böckingen (TG) Viehweide Kunstrasen, Viehweide 20, 74080 Heilbronn-Böckingen</v>
      </c>
      <c r="AG469" t="str">
        <f>TRIM(MID(AF469, FIND(", ", AF469)+2, FIND(", ", AF469, FIND(", ", AF469)+1) - FIND(", ", AF469) - 2))</f>
        <v>Viehweide 20</v>
      </c>
      <c r="AH469" t="str">
        <f>_xlfn.TEXTBEFORE(_xlfn.TEXTAFTER(AF469, ", ", 2), " ")</f>
        <v>74080</v>
      </c>
      <c r="AI469" t="str">
        <f>_xlfn.TEXTAFTER(_xlfn.TEXTAFTER(AF469, ", ", 2), " ")</f>
        <v>Heilbronn-Böckingen</v>
      </c>
    </row>
    <row r="470" spans="1:35" x14ac:dyDescent="0.2">
      <c r="A470" t="str">
        <f>B470&amp;C470&amp;H470&amp;N470</f>
        <v>35000411Sportverein Heilbronn am Leinbach 1891E-Junioren2</v>
      </c>
      <c r="B470" t="s">
        <v>223</v>
      </c>
      <c r="C470" t="s">
        <v>224</v>
      </c>
      <c r="D470" t="s">
        <v>34</v>
      </c>
      <c r="E470" t="s">
        <v>35</v>
      </c>
      <c r="F470" t="s">
        <v>36</v>
      </c>
      <c r="G470">
        <v>3</v>
      </c>
      <c r="H470" t="s">
        <v>1112</v>
      </c>
      <c r="I470" t="s">
        <v>114</v>
      </c>
      <c r="J470" t="s">
        <v>1113</v>
      </c>
      <c r="K470" t="s">
        <v>1200</v>
      </c>
      <c r="L470" t="s">
        <v>1401</v>
      </c>
      <c r="M470">
        <v>7</v>
      </c>
      <c r="N470">
        <v>2</v>
      </c>
      <c r="O470" t="s">
        <v>695</v>
      </c>
      <c r="P470" t="s">
        <v>40</v>
      </c>
      <c r="Q470" t="s">
        <v>40</v>
      </c>
      <c r="R470" t="s">
        <v>1094</v>
      </c>
      <c r="S470" t="s">
        <v>1115</v>
      </c>
      <c r="T470" t="s">
        <v>837</v>
      </c>
      <c r="U470" t="s">
        <v>226</v>
      </c>
      <c r="V470" t="s">
        <v>43</v>
      </c>
      <c r="W470" t="s">
        <v>43</v>
      </c>
      <c r="Y470" t="s">
        <v>43</v>
      </c>
      <c r="Z470" t="s">
        <v>45</v>
      </c>
      <c r="AA470" t="s">
        <v>228</v>
      </c>
      <c r="AB470" t="s">
        <v>43</v>
      </c>
      <c r="AC470" t="s">
        <v>43</v>
      </c>
      <c r="AD470" t="s">
        <v>43</v>
      </c>
      <c r="AE470" t="s">
        <v>43</v>
      </c>
      <c r="AF470" t="str">
        <f>AA470</f>
        <v>Frankenbach Rasen, Riedweg 52, 74078 Heilbronn-Frankenbach</v>
      </c>
      <c r="AG470" t="str">
        <f>TRIM(MID(AF470, FIND(", ", AF470)+2, FIND(", ", AF470, FIND(", ", AF470)+1) - FIND(", ", AF470) - 2))</f>
        <v>Riedweg 52</v>
      </c>
      <c r="AH470" t="str">
        <f>_xlfn.TEXTBEFORE(_xlfn.TEXTAFTER(AF470, ", ", 2), " ")</f>
        <v>74078</v>
      </c>
      <c r="AI470" t="str">
        <f>_xlfn.TEXTAFTER(_xlfn.TEXTAFTER(AF470, ", ", 2), " ")</f>
        <v>Heilbronn-Frankenbach</v>
      </c>
    </row>
    <row r="471" spans="1:35" x14ac:dyDescent="0.2">
      <c r="A471" t="str">
        <f>B471&amp;C471&amp;H471&amp;N471</f>
        <v>35000565ASV HeilbronnE-Junioren2</v>
      </c>
      <c r="B471" t="s">
        <v>895</v>
      </c>
      <c r="C471" t="s">
        <v>896</v>
      </c>
      <c r="D471" t="s">
        <v>34</v>
      </c>
      <c r="E471" t="s">
        <v>35</v>
      </c>
      <c r="F471" t="s">
        <v>36</v>
      </c>
      <c r="G471">
        <v>3</v>
      </c>
      <c r="H471" t="s">
        <v>1112</v>
      </c>
      <c r="I471" t="s">
        <v>114</v>
      </c>
      <c r="J471" t="s">
        <v>1113</v>
      </c>
      <c r="K471" t="s">
        <v>1200</v>
      </c>
      <c r="L471" t="s">
        <v>1401</v>
      </c>
      <c r="M471">
        <v>3</v>
      </c>
      <c r="N471">
        <v>2</v>
      </c>
      <c r="O471" t="s">
        <v>1021</v>
      </c>
      <c r="P471" t="s">
        <v>40</v>
      </c>
      <c r="Q471" t="s">
        <v>40</v>
      </c>
      <c r="R471" t="s">
        <v>1094</v>
      </c>
      <c r="S471" t="s">
        <v>1115</v>
      </c>
      <c r="T471" t="s">
        <v>837</v>
      </c>
      <c r="U471" t="s">
        <v>226</v>
      </c>
      <c r="V471" t="s">
        <v>43</v>
      </c>
      <c r="W471" t="s">
        <v>43</v>
      </c>
      <c r="X471" t="s">
        <v>1022</v>
      </c>
      <c r="Y471" s="4" t="s">
        <v>1023</v>
      </c>
      <c r="Z471" t="s">
        <v>45</v>
      </c>
      <c r="AA471" t="s">
        <v>902</v>
      </c>
      <c r="AB471" t="s">
        <v>43</v>
      </c>
      <c r="AC471" t="s">
        <v>43</v>
      </c>
      <c r="AD471" t="s">
        <v>43</v>
      </c>
      <c r="AE471" t="s">
        <v>43</v>
      </c>
      <c r="AF471" t="str">
        <f>AA471</f>
        <v>Wertwiesen (ASV) Rasen, Wertwiesen 6, 74081 Heilbronn-Sontheim</v>
      </c>
      <c r="AG471" t="str">
        <f>TRIM(MID(AF471, FIND(", ", AF471)+2, FIND(", ", AF471, FIND(", ", AF471)+1) - FIND(", ", AF471) - 2))</f>
        <v>Wertwiesen 6</v>
      </c>
      <c r="AH471" t="str">
        <f>_xlfn.TEXTBEFORE(_xlfn.TEXTAFTER(AF471, ", ", 2), " ")</f>
        <v>74081</v>
      </c>
      <c r="AI471" t="str">
        <f>_xlfn.TEXTAFTER(_xlfn.TEXTAFTER(AF471, ", ", 2), " ")</f>
        <v>Heilbronn-Sontheim</v>
      </c>
    </row>
    <row r="472" spans="1:35" x14ac:dyDescent="0.2">
      <c r="A472" t="str">
        <f>B472&amp;C472&amp;H472&amp;N472</f>
        <v>35000777SV LeingartenE-Junioren3</v>
      </c>
      <c r="B472" t="s">
        <v>158</v>
      </c>
      <c r="C472" t="s">
        <v>159</v>
      </c>
      <c r="D472" t="s">
        <v>34</v>
      </c>
      <c r="E472" t="s">
        <v>35</v>
      </c>
      <c r="F472" t="s">
        <v>36</v>
      </c>
      <c r="G472">
        <v>3</v>
      </c>
      <c r="H472" t="s">
        <v>1112</v>
      </c>
      <c r="I472" t="s">
        <v>114</v>
      </c>
      <c r="J472" t="s">
        <v>1113</v>
      </c>
      <c r="K472" t="s">
        <v>1200</v>
      </c>
      <c r="L472" t="s">
        <v>1401</v>
      </c>
      <c r="M472">
        <v>5</v>
      </c>
      <c r="N472">
        <v>3</v>
      </c>
      <c r="O472" t="s">
        <v>1207</v>
      </c>
      <c r="P472" t="s">
        <v>40</v>
      </c>
      <c r="Q472" t="s">
        <v>40</v>
      </c>
      <c r="R472" t="s">
        <v>1094</v>
      </c>
      <c r="S472" t="s">
        <v>989</v>
      </c>
      <c r="T472" t="s">
        <v>974</v>
      </c>
      <c r="U472" t="s">
        <v>226</v>
      </c>
      <c r="V472" t="s">
        <v>43</v>
      </c>
      <c r="W472" t="s">
        <v>43</v>
      </c>
      <c r="Y472" t="s">
        <v>43</v>
      </c>
      <c r="Z472" t="s">
        <v>45</v>
      </c>
      <c r="AA472" t="s">
        <v>964</v>
      </c>
      <c r="AB472" t="s">
        <v>43</v>
      </c>
      <c r="AC472" t="s">
        <v>43</v>
      </c>
      <c r="AD472" t="s">
        <v>43</v>
      </c>
      <c r="AE472" t="s">
        <v>43</v>
      </c>
      <c r="AF472" t="str">
        <f>AA472</f>
        <v>Leingarten Rasen 2 (Nebenplatz), Egarten, 74211 Leingarten-Großgartach</v>
      </c>
      <c r="AG472" t="str">
        <f>TRIM(MID(AF472, FIND(", ", AF472)+2, FIND(", ", AF472, FIND(", ", AF472)+1) - FIND(", ", AF472) - 2))</f>
        <v>Egarten</v>
      </c>
      <c r="AH472" t="str">
        <f>_xlfn.TEXTBEFORE(_xlfn.TEXTAFTER(AF472, ", ", 2), " ")</f>
        <v>74211</v>
      </c>
      <c r="AI472" t="str">
        <f>_xlfn.TEXTAFTER(_xlfn.TEXTAFTER(AF472, ", ", 2), " ")</f>
        <v>Leingarten-Großgartach</v>
      </c>
    </row>
    <row r="473" spans="1:35" x14ac:dyDescent="0.2">
      <c r="A473" t="str">
        <f>B473&amp;C473&amp;H473&amp;N473</f>
        <v>35000837SV MassenbachhausenE-Junioren1</v>
      </c>
      <c r="B473" t="s">
        <v>723</v>
      </c>
      <c r="C473" t="s">
        <v>724</v>
      </c>
      <c r="D473" t="s">
        <v>34</v>
      </c>
      <c r="E473" t="s">
        <v>35</v>
      </c>
      <c r="F473" t="s">
        <v>36</v>
      </c>
      <c r="G473">
        <v>3</v>
      </c>
      <c r="H473" t="s">
        <v>1112</v>
      </c>
      <c r="I473" t="s">
        <v>114</v>
      </c>
      <c r="J473" t="s">
        <v>1113</v>
      </c>
      <c r="K473" t="s">
        <v>1200</v>
      </c>
      <c r="L473" t="s">
        <v>1401</v>
      </c>
      <c r="M473">
        <v>4</v>
      </c>
      <c r="N473">
        <v>1</v>
      </c>
      <c r="O473" t="s">
        <v>1047</v>
      </c>
      <c r="P473" t="s">
        <v>40</v>
      </c>
      <c r="Q473" t="s">
        <v>53</v>
      </c>
      <c r="R473" t="s">
        <v>1094</v>
      </c>
      <c r="S473" t="s">
        <v>1115</v>
      </c>
      <c r="T473" t="s">
        <v>974</v>
      </c>
      <c r="U473" t="s">
        <v>226</v>
      </c>
      <c r="V473" t="s">
        <v>43</v>
      </c>
      <c r="W473" t="s">
        <v>43</v>
      </c>
      <c r="X473" t="s">
        <v>1118</v>
      </c>
      <c r="Y473" s="4" t="s">
        <v>1202</v>
      </c>
      <c r="Z473" t="s">
        <v>45</v>
      </c>
      <c r="AA473" t="s">
        <v>1203</v>
      </c>
      <c r="AB473" t="s">
        <v>43</v>
      </c>
      <c r="AC473" t="s">
        <v>43</v>
      </c>
      <c r="AD473" t="s">
        <v>43</v>
      </c>
      <c r="AE473" t="s">
        <v>43</v>
      </c>
      <c r="AF473" t="str">
        <f>AA473</f>
        <v>Massenbachhausen Rasen 1, Heilbronner Str. 56, 74252 Massenbachhausen</v>
      </c>
      <c r="AG473" t="str">
        <f>TRIM(MID(AF473, FIND(", ", AF473)+2, FIND(", ", AF473, FIND(", ", AF473)+1) - FIND(", ", AF473) - 2))</f>
        <v>Heilbronner Str. 56</v>
      </c>
      <c r="AH473" t="str">
        <f>_xlfn.TEXTBEFORE(_xlfn.TEXTAFTER(AF473, ", ", 2), " ")</f>
        <v>74252</v>
      </c>
      <c r="AI473" t="str">
        <f>_xlfn.TEXTAFTER(_xlfn.TEXTAFTER(AF473, ", ", 2), " ")</f>
        <v>Massenbachhausen</v>
      </c>
    </row>
    <row r="474" spans="1:35" x14ac:dyDescent="0.2">
      <c r="A474" t="str">
        <f>B474&amp;C474&amp;H474&amp;N474</f>
        <v>35000842TSV MeimsheimE-Junioren2</v>
      </c>
      <c r="B474" t="s">
        <v>217</v>
      </c>
      <c r="C474" t="s">
        <v>218</v>
      </c>
      <c r="D474" t="s">
        <v>34</v>
      </c>
      <c r="E474" t="s">
        <v>35</v>
      </c>
      <c r="F474" t="s">
        <v>36</v>
      </c>
      <c r="G474">
        <v>3</v>
      </c>
      <c r="H474" t="s">
        <v>1112</v>
      </c>
      <c r="I474" t="s">
        <v>114</v>
      </c>
      <c r="J474" t="s">
        <v>1113</v>
      </c>
      <c r="K474" t="s">
        <v>1200</v>
      </c>
      <c r="L474" t="s">
        <v>1401</v>
      </c>
      <c r="M474">
        <v>6</v>
      </c>
      <c r="N474">
        <v>2</v>
      </c>
      <c r="O474" t="s">
        <v>1206</v>
      </c>
      <c r="P474" t="s">
        <v>40</v>
      </c>
      <c r="Q474" t="s">
        <v>53</v>
      </c>
      <c r="R474" t="s">
        <v>1094</v>
      </c>
      <c r="S474" t="s">
        <v>1115</v>
      </c>
      <c r="T474" t="s">
        <v>837</v>
      </c>
      <c r="U474" t="s">
        <v>226</v>
      </c>
      <c r="V474" t="s">
        <v>43</v>
      </c>
      <c r="W474" t="s">
        <v>43</v>
      </c>
      <c r="Y474" t="s">
        <v>43</v>
      </c>
      <c r="Z474" t="s">
        <v>45</v>
      </c>
      <c r="AA474" t="s">
        <v>395</v>
      </c>
      <c r="AB474" t="s">
        <v>43</v>
      </c>
      <c r="AC474" t="s">
        <v>43</v>
      </c>
      <c r="AD474" t="s">
        <v>43</v>
      </c>
      <c r="AE474" t="s">
        <v>43</v>
      </c>
      <c r="AF474" t="str">
        <f>AA474</f>
        <v>Brackenheim Wiesental Kunstrasen, Im Wiesental, 74336 Brackenheim-Zentrum</v>
      </c>
      <c r="AG474" t="str">
        <f>TRIM(MID(AF474, FIND(", ", AF474)+2, FIND(", ", AF474, FIND(", ", AF474)+1) - FIND(", ", AF474) - 2))</f>
        <v>Im Wiesental</v>
      </c>
      <c r="AH474" t="str">
        <f>_xlfn.TEXTBEFORE(_xlfn.TEXTAFTER(AF474, ", ", 2), " ")</f>
        <v>74336</v>
      </c>
      <c r="AI474" t="str">
        <f>_xlfn.TEXTAFTER(_xlfn.TEXTAFTER(AF474, ", ", 2), " ")</f>
        <v>Brackenheim-Zentrum</v>
      </c>
    </row>
    <row r="475" spans="1:35" x14ac:dyDescent="0.2">
      <c r="A475" t="str">
        <f>B475&amp;C475&amp;H475&amp;N475</f>
        <v>35001763FSV SchwaigernE-Junioren1</v>
      </c>
      <c r="B475" t="s">
        <v>630</v>
      </c>
      <c r="C475" t="s">
        <v>631</v>
      </c>
      <c r="D475" t="s">
        <v>34</v>
      </c>
      <c r="E475" t="s">
        <v>35</v>
      </c>
      <c r="F475" t="s">
        <v>36</v>
      </c>
      <c r="G475">
        <v>3</v>
      </c>
      <c r="H475" t="s">
        <v>1112</v>
      </c>
      <c r="I475" t="s">
        <v>114</v>
      </c>
      <c r="J475" t="s">
        <v>1113</v>
      </c>
      <c r="K475" t="s">
        <v>1200</v>
      </c>
      <c r="L475" t="s">
        <v>1401</v>
      </c>
      <c r="M475">
        <v>8</v>
      </c>
      <c r="N475">
        <v>1</v>
      </c>
      <c r="O475" t="s">
        <v>847</v>
      </c>
      <c r="P475" t="s">
        <v>40</v>
      </c>
      <c r="Q475" t="s">
        <v>53</v>
      </c>
      <c r="R475" t="s">
        <v>1094</v>
      </c>
      <c r="S475" t="s">
        <v>1115</v>
      </c>
      <c r="T475" t="s">
        <v>837</v>
      </c>
      <c r="U475" t="s">
        <v>226</v>
      </c>
      <c r="V475" t="s">
        <v>43</v>
      </c>
      <c r="W475" t="s">
        <v>43</v>
      </c>
      <c r="Y475" t="s">
        <v>1201</v>
      </c>
      <c r="Z475" t="s">
        <v>45</v>
      </c>
      <c r="AA475" t="s">
        <v>848</v>
      </c>
      <c r="AB475" t="s">
        <v>43</v>
      </c>
      <c r="AC475" t="s">
        <v>43</v>
      </c>
      <c r="AD475" t="s">
        <v>43</v>
      </c>
      <c r="AE475" t="s">
        <v>43</v>
      </c>
      <c r="AF475" t="str">
        <f>AA475</f>
        <v>Schwaigern Rasen 2 (oberes Spielfeld), Falltorstr. 10, 74193 Schwaigern-Zentrum</v>
      </c>
      <c r="AG475" t="str">
        <f>TRIM(MID(AF475, FIND(", ", AF475)+2, FIND(", ", AF475, FIND(", ", AF475)+1) - FIND(", ", AF475) - 2))</f>
        <v>Falltorstr. 10</v>
      </c>
      <c r="AH475" t="str">
        <f>_xlfn.TEXTBEFORE(_xlfn.TEXTAFTER(AF475, ", ", 2), " ")</f>
        <v>74193</v>
      </c>
      <c r="AI475" t="str">
        <f>_xlfn.TEXTAFTER(_xlfn.TEXTAFTER(AF475, ", ", 2), " ")</f>
        <v>Schwaigern-Zentrum</v>
      </c>
    </row>
    <row r="476" spans="1:35" x14ac:dyDescent="0.2">
      <c r="A476" t="str">
        <f>B476&amp;C476&amp;H476&amp;N476</f>
        <v>35002162SG Stetten-KleingartachE-Junioren1</v>
      </c>
      <c r="B476" t="s">
        <v>385</v>
      </c>
      <c r="C476" t="s">
        <v>386</v>
      </c>
      <c r="D476" t="s">
        <v>34</v>
      </c>
      <c r="E476" t="s">
        <v>35</v>
      </c>
      <c r="F476" t="s">
        <v>36</v>
      </c>
      <c r="G476">
        <v>3</v>
      </c>
      <c r="H476" t="s">
        <v>1112</v>
      </c>
      <c r="I476" t="s">
        <v>114</v>
      </c>
      <c r="J476" t="s">
        <v>1113</v>
      </c>
      <c r="K476" t="s">
        <v>1200</v>
      </c>
      <c r="L476" t="s">
        <v>1401</v>
      </c>
      <c r="M476">
        <v>1</v>
      </c>
      <c r="N476">
        <v>1</v>
      </c>
      <c r="O476" t="s">
        <v>387</v>
      </c>
      <c r="P476" t="s">
        <v>40</v>
      </c>
      <c r="Q476" t="s">
        <v>53</v>
      </c>
      <c r="R476" t="s">
        <v>1094</v>
      </c>
      <c r="S476" t="s">
        <v>1115</v>
      </c>
      <c r="T476" t="s">
        <v>837</v>
      </c>
      <c r="U476" t="s">
        <v>226</v>
      </c>
      <c r="V476" t="s">
        <v>43</v>
      </c>
      <c r="W476" t="s">
        <v>43</v>
      </c>
      <c r="X476" t="s">
        <v>1204</v>
      </c>
      <c r="Y476" s="4" t="s">
        <v>1205</v>
      </c>
      <c r="Z476" t="s">
        <v>45</v>
      </c>
      <c r="AA476" t="s">
        <v>270</v>
      </c>
      <c r="AB476" t="s">
        <v>43</v>
      </c>
      <c r="AC476" t="s">
        <v>43</v>
      </c>
      <c r="AD476" t="s">
        <v>43</v>
      </c>
      <c r="AE476" t="s">
        <v>43</v>
      </c>
      <c r="AF476" t="str">
        <f>AA476</f>
        <v>Niederhofen Rasen, Lindenstr., 74193 Schwaigern-Niederhofen</v>
      </c>
      <c r="AG476" t="str">
        <f>TRIM(MID(AF476, FIND(", ", AF476)+2, FIND(", ", AF476, FIND(", ", AF476)+1) - FIND(", ", AF476) - 2))</f>
        <v>Lindenstr.</v>
      </c>
      <c r="AH476" t="str">
        <f>_xlfn.TEXTBEFORE(_xlfn.TEXTAFTER(AF476, ", ", 2), " ")</f>
        <v>74193</v>
      </c>
      <c r="AI476" t="str">
        <f>_xlfn.TEXTAFTER(_xlfn.TEXTAFTER(AF476, ", ", 2), " ")</f>
        <v>Schwaigern-Niederhofen</v>
      </c>
    </row>
    <row r="477" spans="1:35" x14ac:dyDescent="0.2">
      <c r="A477" t="str">
        <f>B477&amp;C477&amp;H477&amp;N477</f>
        <v>35000765Spfr LauffenE-Junioren2</v>
      </c>
      <c r="B477" t="s">
        <v>390</v>
      </c>
      <c r="C477" t="s">
        <v>391</v>
      </c>
      <c r="D477" t="s">
        <v>34</v>
      </c>
      <c r="E477" t="s">
        <v>35</v>
      </c>
      <c r="F477" t="s">
        <v>36</v>
      </c>
      <c r="G477">
        <v>3</v>
      </c>
      <c r="H477" t="s">
        <v>1112</v>
      </c>
      <c r="I477" t="s">
        <v>114</v>
      </c>
      <c r="J477" t="s">
        <v>1113</v>
      </c>
      <c r="K477" t="s">
        <v>1209</v>
      </c>
      <c r="L477" t="s">
        <v>1402</v>
      </c>
      <c r="M477">
        <v>6</v>
      </c>
      <c r="N477">
        <v>2</v>
      </c>
      <c r="O477" t="s">
        <v>1216</v>
      </c>
      <c r="P477" t="s">
        <v>40</v>
      </c>
      <c r="Q477" t="s">
        <v>53</v>
      </c>
      <c r="R477" t="s">
        <v>1094</v>
      </c>
      <c r="S477" t="s">
        <v>1115</v>
      </c>
      <c r="T477" t="s">
        <v>837</v>
      </c>
      <c r="U477" t="s">
        <v>226</v>
      </c>
      <c r="V477" t="s">
        <v>43</v>
      </c>
      <c r="W477" t="s">
        <v>43</v>
      </c>
      <c r="Y477" t="s">
        <v>43</v>
      </c>
      <c r="Z477" t="s">
        <v>45</v>
      </c>
      <c r="AA477" t="s">
        <v>694</v>
      </c>
      <c r="AB477" t="s">
        <v>43</v>
      </c>
      <c r="AC477" t="s">
        <v>43</v>
      </c>
      <c r="AD477" t="s">
        <v>43</v>
      </c>
      <c r="AE477" t="s">
        <v>43</v>
      </c>
      <c r="AF477" t="str">
        <f>AA477</f>
        <v>Lauffen Rasen 2, Am Forchenwald, 74348 Lauffen am Neckar</v>
      </c>
      <c r="AG477" t="str">
        <f>TRIM(MID(AF477, FIND(", ", AF477)+2, FIND(", ", AF477, FIND(", ", AF477)+1) - FIND(", ", AF477) - 2))</f>
        <v>Am Forchenwald</v>
      </c>
      <c r="AH477" t="str">
        <f>_xlfn.TEXTBEFORE(_xlfn.TEXTAFTER(AF477, ", ", 2), " ")</f>
        <v>74348</v>
      </c>
      <c r="AI477" t="str">
        <f>_xlfn.TEXTAFTER(_xlfn.TEXTAFTER(AF477, ", ", 2), " ")</f>
        <v>Lauffen am Neckar</v>
      </c>
    </row>
    <row r="478" spans="1:35" x14ac:dyDescent="0.2">
      <c r="A478" t="str">
        <f>B478&amp;C478&amp;H478&amp;N478</f>
        <v>35000777SV LeingartenE-Junioren4</v>
      </c>
      <c r="B478" t="s">
        <v>158</v>
      </c>
      <c r="C478" t="s">
        <v>159</v>
      </c>
      <c r="D478" t="s">
        <v>34</v>
      </c>
      <c r="E478" t="s">
        <v>35</v>
      </c>
      <c r="F478" t="s">
        <v>36</v>
      </c>
      <c r="G478">
        <v>3</v>
      </c>
      <c r="H478" t="s">
        <v>1112</v>
      </c>
      <c r="I478" t="s">
        <v>114</v>
      </c>
      <c r="J478" t="s">
        <v>1113</v>
      </c>
      <c r="K478" t="s">
        <v>1209</v>
      </c>
      <c r="L478" t="s">
        <v>1402</v>
      </c>
      <c r="M478">
        <v>3</v>
      </c>
      <c r="N478">
        <v>4</v>
      </c>
      <c r="O478" t="s">
        <v>1217</v>
      </c>
      <c r="P478" t="s">
        <v>40</v>
      </c>
      <c r="Q478" t="s">
        <v>40</v>
      </c>
      <c r="R478" t="s">
        <v>1094</v>
      </c>
      <c r="S478" t="s">
        <v>989</v>
      </c>
      <c r="T478" t="s">
        <v>1000</v>
      </c>
      <c r="U478" t="s">
        <v>226</v>
      </c>
      <c r="V478" t="s">
        <v>43</v>
      </c>
      <c r="W478" t="s">
        <v>43</v>
      </c>
      <c r="Y478" t="s">
        <v>1106</v>
      </c>
      <c r="Z478" t="s">
        <v>45</v>
      </c>
      <c r="AA478" t="s">
        <v>964</v>
      </c>
      <c r="AB478" t="s">
        <v>43</v>
      </c>
      <c r="AC478" t="s">
        <v>43</v>
      </c>
      <c r="AD478" t="s">
        <v>43</v>
      </c>
      <c r="AE478" t="s">
        <v>43</v>
      </c>
      <c r="AF478" t="str">
        <f>AA478</f>
        <v>Leingarten Rasen 2 (Nebenplatz), Egarten, 74211 Leingarten-Großgartach</v>
      </c>
      <c r="AG478" t="str">
        <f>TRIM(MID(AF478, FIND(", ", AF478)+2, FIND(", ", AF478, FIND(", ", AF478)+1) - FIND(", ", AF478) - 2))</f>
        <v>Egarten</v>
      </c>
      <c r="AH478" t="str">
        <f>_xlfn.TEXTBEFORE(_xlfn.TEXTAFTER(AF478, ", ", 2), " ")</f>
        <v>74211</v>
      </c>
      <c r="AI478" t="str">
        <f>_xlfn.TEXTAFTER(_xlfn.TEXTAFTER(AF478, ", ", 2), " ")</f>
        <v>Leingarten-Großgartach</v>
      </c>
    </row>
    <row r="479" spans="1:35" x14ac:dyDescent="0.2">
      <c r="A479" t="str">
        <f>B479&amp;C479&amp;H479&amp;N479</f>
        <v>35000842TSV MeimsheimE-Junioren3</v>
      </c>
      <c r="B479" t="s">
        <v>217</v>
      </c>
      <c r="C479" t="s">
        <v>218</v>
      </c>
      <c r="D479" t="s">
        <v>34</v>
      </c>
      <c r="E479" t="s">
        <v>35</v>
      </c>
      <c r="F479" t="s">
        <v>36</v>
      </c>
      <c r="G479">
        <v>3</v>
      </c>
      <c r="H479" t="s">
        <v>1112</v>
      </c>
      <c r="I479" t="s">
        <v>114</v>
      </c>
      <c r="J479" t="s">
        <v>1113</v>
      </c>
      <c r="K479" t="s">
        <v>1209</v>
      </c>
      <c r="L479" t="s">
        <v>1402</v>
      </c>
      <c r="M479">
        <v>2</v>
      </c>
      <c r="N479">
        <v>3</v>
      </c>
      <c r="O479" t="s">
        <v>1215</v>
      </c>
      <c r="P479" t="s">
        <v>40</v>
      </c>
      <c r="Q479" t="s">
        <v>53</v>
      </c>
      <c r="R479" t="s">
        <v>1094</v>
      </c>
      <c r="S479" t="s">
        <v>1115</v>
      </c>
      <c r="T479" t="s">
        <v>837</v>
      </c>
      <c r="U479" t="s">
        <v>226</v>
      </c>
      <c r="V479" t="s">
        <v>43</v>
      </c>
      <c r="W479" t="s">
        <v>43</v>
      </c>
      <c r="Y479" t="s">
        <v>43</v>
      </c>
      <c r="Z479" t="s">
        <v>45</v>
      </c>
      <c r="AA479" t="s">
        <v>395</v>
      </c>
      <c r="AB479" t="s">
        <v>43</v>
      </c>
      <c r="AC479" t="s">
        <v>43</v>
      </c>
      <c r="AD479" t="s">
        <v>43</v>
      </c>
      <c r="AE479" t="s">
        <v>43</v>
      </c>
      <c r="AF479" t="str">
        <f>AA479</f>
        <v>Brackenheim Wiesental Kunstrasen, Im Wiesental, 74336 Brackenheim-Zentrum</v>
      </c>
      <c r="AG479" t="str">
        <f>TRIM(MID(AF479, FIND(", ", AF479)+2, FIND(", ", AF479, FIND(", ", AF479)+1) - FIND(", ", AF479) - 2))</f>
        <v>Im Wiesental</v>
      </c>
      <c r="AH479" t="str">
        <f>_xlfn.TEXTBEFORE(_xlfn.TEXTAFTER(AF479, ", ", 2), " ")</f>
        <v>74336</v>
      </c>
      <c r="AI479" t="str">
        <f>_xlfn.TEXTAFTER(_xlfn.TEXTAFTER(AF479, ", ", 2), " ")</f>
        <v>Brackenheim-Zentrum</v>
      </c>
    </row>
    <row r="480" spans="1:35" x14ac:dyDescent="0.2">
      <c r="A480" t="str">
        <f>B480&amp;C480&amp;H480&amp;N480</f>
        <v>35000951TSV Nordheim FußballE-Junioren2</v>
      </c>
      <c r="B480" t="s">
        <v>954</v>
      </c>
      <c r="C480" t="s">
        <v>955</v>
      </c>
      <c r="D480" t="s">
        <v>34</v>
      </c>
      <c r="E480" t="s">
        <v>35</v>
      </c>
      <c r="F480" t="s">
        <v>36</v>
      </c>
      <c r="G480">
        <v>3</v>
      </c>
      <c r="H480" t="s">
        <v>1112</v>
      </c>
      <c r="I480" t="s">
        <v>114</v>
      </c>
      <c r="J480" t="s">
        <v>1113</v>
      </c>
      <c r="K480" t="s">
        <v>1209</v>
      </c>
      <c r="L480" t="s">
        <v>1402</v>
      </c>
      <c r="M480">
        <v>8</v>
      </c>
      <c r="N480">
        <v>2</v>
      </c>
      <c r="O480" t="s">
        <v>1050</v>
      </c>
      <c r="P480" t="s">
        <v>40</v>
      </c>
      <c r="Q480" t="s">
        <v>53</v>
      </c>
      <c r="R480" t="s">
        <v>1094</v>
      </c>
      <c r="S480" t="s">
        <v>1115</v>
      </c>
      <c r="T480" t="s">
        <v>837</v>
      </c>
      <c r="U480" t="s">
        <v>226</v>
      </c>
      <c r="V480" t="s">
        <v>43</v>
      </c>
      <c r="W480" t="s">
        <v>43</v>
      </c>
      <c r="X480" t="s">
        <v>664</v>
      </c>
      <c r="Y480" s="4" t="s">
        <v>1212</v>
      </c>
      <c r="Z480" t="s">
        <v>45</v>
      </c>
      <c r="AA480" t="s">
        <v>958</v>
      </c>
      <c r="AB480" t="s">
        <v>43</v>
      </c>
      <c r="AC480" t="s">
        <v>43</v>
      </c>
      <c r="AD480" t="s">
        <v>43</v>
      </c>
      <c r="AE480" t="s">
        <v>43</v>
      </c>
      <c r="AF480" t="str">
        <f>AA480</f>
        <v>Nordheim Kunstrasen, Breibachweg, 74226 Nordheim-Zentrum</v>
      </c>
      <c r="AG480" t="str">
        <f>TRIM(MID(AF480, FIND(", ", AF480)+2, FIND(", ", AF480, FIND(", ", AF480)+1) - FIND(", ", AF480) - 2))</f>
        <v>Breibachweg</v>
      </c>
      <c r="AH480" t="str">
        <f>_xlfn.TEXTBEFORE(_xlfn.TEXTAFTER(AF480, ", ", 2), " ")</f>
        <v>74226</v>
      </c>
      <c r="AI480" t="str">
        <f>_xlfn.TEXTAFTER(_xlfn.TEXTAFTER(AF480, ", ", 2), " ")</f>
        <v>Nordheim-Zentrum</v>
      </c>
    </row>
    <row r="481" spans="1:35" x14ac:dyDescent="0.2">
      <c r="A481" t="str">
        <f>B481&amp;C481&amp;H481&amp;N481</f>
        <v>35001763FSV SchwaigernE-Junioren2</v>
      </c>
      <c r="B481" t="s">
        <v>630</v>
      </c>
      <c r="C481" t="s">
        <v>631</v>
      </c>
      <c r="D481" t="s">
        <v>34</v>
      </c>
      <c r="E481" t="s">
        <v>35</v>
      </c>
      <c r="F481" t="s">
        <v>36</v>
      </c>
      <c r="G481">
        <v>3</v>
      </c>
      <c r="H481" t="s">
        <v>1112</v>
      </c>
      <c r="I481" t="s">
        <v>114</v>
      </c>
      <c r="J481" t="s">
        <v>1113</v>
      </c>
      <c r="K481" t="s">
        <v>1209</v>
      </c>
      <c r="L481" t="s">
        <v>1402</v>
      </c>
      <c r="M481">
        <v>4</v>
      </c>
      <c r="N481">
        <v>2</v>
      </c>
      <c r="O481" t="s">
        <v>1040</v>
      </c>
      <c r="P481" t="s">
        <v>40</v>
      </c>
      <c r="Q481" t="s">
        <v>53</v>
      </c>
      <c r="R481" t="s">
        <v>1094</v>
      </c>
      <c r="S481" t="s">
        <v>1115</v>
      </c>
      <c r="T481" t="s">
        <v>837</v>
      </c>
      <c r="U481" t="s">
        <v>226</v>
      </c>
      <c r="V481" t="s">
        <v>43</v>
      </c>
      <c r="W481" t="s">
        <v>43</v>
      </c>
      <c r="Y481" t="s">
        <v>43</v>
      </c>
      <c r="Z481" t="s">
        <v>45</v>
      </c>
      <c r="AA481" t="s">
        <v>848</v>
      </c>
      <c r="AB481" t="s">
        <v>43</v>
      </c>
      <c r="AC481" t="s">
        <v>43</v>
      </c>
      <c r="AD481" t="s">
        <v>43</v>
      </c>
      <c r="AE481" t="s">
        <v>43</v>
      </c>
      <c r="AF481" t="str">
        <f>AA481</f>
        <v>Schwaigern Rasen 2 (oberes Spielfeld), Falltorstr. 10, 74193 Schwaigern-Zentrum</v>
      </c>
      <c r="AG481" t="str">
        <f>TRIM(MID(AF481, FIND(", ", AF481)+2, FIND(", ", AF481, FIND(", ", AF481)+1) - FIND(", ", AF481) - 2))</f>
        <v>Falltorstr. 10</v>
      </c>
      <c r="AH481" t="str">
        <f>_xlfn.TEXTBEFORE(_xlfn.TEXTAFTER(AF481, ", ", 2), " ")</f>
        <v>74193</v>
      </c>
      <c r="AI481" t="str">
        <f>_xlfn.TEXTAFTER(_xlfn.TEXTAFTER(AF481, ", ", 2), " ")</f>
        <v>Schwaigern-Zentrum</v>
      </c>
    </row>
    <row r="482" spans="1:35" x14ac:dyDescent="0.2">
      <c r="A482" t="str">
        <f>B482&amp;C482&amp;H482&amp;N482</f>
        <v>35002135SC Oberes ZabergäuE-Junioren1</v>
      </c>
      <c r="B482" t="s">
        <v>257</v>
      </c>
      <c r="C482" t="s">
        <v>258</v>
      </c>
      <c r="D482" t="s">
        <v>34</v>
      </c>
      <c r="E482" t="s">
        <v>35</v>
      </c>
      <c r="F482" t="s">
        <v>36</v>
      </c>
      <c r="G482">
        <v>3</v>
      </c>
      <c r="H482" t="s">
        <v>1112</v>
      </c>
      <c r="I482" t="s">
        <v>114</v>
      </c>
      <c r="J482" t="s">
        <v>1113</v>
      </c>
      <c r="K482" t="s">
        <v>1209</v>
      </c>
      <c r="L482" t="s">
        <v>1402</v>
      </c>
      <c r="M482">
        <v>7</v>
      </c>
      <c r="N482">
        <v>1</v>
      </c>
      <c r="O482" t="s">
        <v>1210</v>
      </c>
      <c r="P482" t="s">
        <v>40</v>
      </c>
      <c r="Q482" t="s">
        <v>53</v>
      </c>
      <c r="R482" t="s">
        <v>1094</v>
      </c>
      <c r="S482" t="s">
        <v>1115</v>
      </c>
      <c r="T482" t="s">
        <v>837</v>
      </c>
      <c r="U482" t="s">
        <v>226</v>
      </c>
      <c r="V482" t="s">
        <v>43</v>
      </c>
      <c r="W482" t="s">
        <v>43</v>
      </c>
      <c r="X482" t="s">
        <v>1128</v>
      </c>
      <c r="Y482" s="4" t="s">
        <v>1211</v>
      </c>
      <c r="Z482" t="s">
        <v>45</v>
      </c>
      <c r="AA482" t="s">
        <v>263</v>
      </c>
      <c r="AB482" t="s">
        <v>262</v>
      </c>
      <c r="AC482" t="s">
        <v>261</v>
      </c>
      <c r="AD482" t="s">
        <v>43</v>
      </c>
      <c r="AE482" t="s">
        <v>43</v>
      </c>
      <c r="AF482" t="str">
        <f>AC482</f>
        <v>Zaberfeld Rasen 1, Weilerer Str., 74374 Zaberfeld-Zentrum</v>
      </c>
      <c r="AG482" t="str">
        <f>TRIM(MID(AF482, FIND(", ", AF482)+2, FIND(", ", AF482, FIND(", ", AF482)+1) - FIND(", ", AF482) - 2))</f>
        <v>Weilerer Str.</v>
      </c>
      <c r="AH482" t="str">
        <f>_xlfn.TEXTBEFORE(_xlfn.TEXTAFTER(AF482, ", ", 2), " ")</f>
        <v>74374</v>
      </c>
      <c r="AI482" t="str">
        <f>_xlfn.TEXTAFTER(_xlfn.TEXTAFTER(AF482, ", ", 2), " ")</f>
        <v>Zaberfeld-Zentrum</v>
      </c>
    </row>
    <row r="483" spans="1:35" x14ac:dyDescent="0.2">
      <c r="A483" t="str">
        <f>B483&amp;C483&amp;H483&amp;N483</f>
        <v>35002162SG Stetten-KleingartachE-Junioren2</v>
      </c>
      <c r="B483" t="s">
        <v>385</v>
      </c>
      <c r="C483" t="s">
        <v>386</v>
      </c>
      <c r="D483" t="s">
        <v>34</v>
      </c>
      <c r="E483" t="s">
        <v>35</v>
      </c>
      <c r="F483" t="s">
        <v>36</v>
      </c>
      <c r="G483">
        <v>3</v>
      </c>
      <c r="H483" t="s">
        <v>1112</v>
      </c>
      <c r="I483" t="s">
        <v>114</v>
      </c>
      <c r="J483" t="s">
        <v>1113</v>
      </c>
      <c r="K483" t="s">
        <v>1209</v>
      </c>
      <c r="L483" t="s">
        <v>1402</v>
      </c>
      <c r="M483">
        <v>1</v>
      </c>
      <c r="N483">
        <v>2</v>
      </c>
      <c r="O483" t="s">
        <v>1213</v>
      </c>
      <c r="P483" t="s">
        <v>40</v>
      </c>
      <c r="Q483" t="s">
        <v>53</v>
      </c>
      <c r="R483" t="s">
        <v>1094</v>
      </c>
      <c r="S483" t="s">
        <v>1115</v>
      </c>
      <c r="T483" t="s">
        <v>974</v>
      </c>
      <c r="U483" t="s">
        <v>226</v>
      </c>
      <c r="V483" t="s">
        <v>43</v>
      </c>
      <c r="W483" t="s">
        <v>43</v>
      </c>
      <c r="X483" t="s">
        <v>1204</v>
      </c>
      <c r="Y483" s="4" t="s">
        <v>1214</v>
      </c>
      <c r="Z483" t="s">
        <v>45</v>
      </c>
      <c r="AA483" t="s">
        <v>270</v>
      </c>
      <c r="AB483" t="s">
        <v>43</v>
      </c>
      <c r="AC483" t="s">
        <v>43</v>
      </c>
      <c r="AD483" t="s">
        <v>43</v>
      </c>
      <c r="AE483" t="s">
        <v>43</v>
      </c>
      <c r="AF483" t="str">
        <f>AA483</f>
        <v>Niederhofen Rasen, Lindenstr., 74193 Schwaigern-Niederhofen</v>
      </c>
      <c r="AG483" t="str">
        <f>TRIM(MID(AF483, FIND(", ", AF483)+2, FIND(", ", AF483, FIND(", ", AF483)+1) - FIND(", ", AF483) - 2))</f>
        <v>Lindenstr.</v>
      </c>
      <c r="AH483" t="str">
        <f>_xlfn.TEXTBEFORE(_xlfn.TEXTAFTER(AF483, ", ", 2), " ")</f>
        <v>74193</v>
      </c>
      <c r="AI483" t="str">
        <f>_xlfn.TEXTAFTER(_xlfn.TEXTAFTER(AF483, ", ", 2), " ")</f>
        <v>Schwaigern-Niederhofen</v>
      </c>
    </row>
    <row r="484" spans="1:35" x14ac:dyDescent="0.2">
      <c r="A484" t="str">
        <f>B484&amp;C484&amp;H484&amp;N484</f>
        <v>35002168TSG HeilbronnE-Junioren4</v>
      </c>
      <c r="B484" t="s">
        <v>349</v>
      </c>
      <c r="C484" t="s">
        <v>350</v>
      </c>
      <c r="D484" t="s">
        <v>34</v>
      </c>
      <c r="E484" t="s">
        <v>35</v>
      </c>
      <c r="F484" t="s">
        <v>36</v>
      </c>
      <c r="G484">
        <v>3</v>
      </c>
      <c r="H484" t="s">
        <v>1112</v>
      </c>
      <c r="I484" t="s">
        <v>114</v>
      </c>
      <c r="J484" t="s">
        <v>1113</v>
      </c>
      <c r="K484" t="s">
        <v>1209</v>
      </c>
      <c r="L484" t="s">
        <v>1402</v>
      </c>
      <c r="M484">
        <v>5</v>
      </c>
      <c r="N484">
        <v>4</v>
      </c>
      <c r="O484" t="s">
        <v>1218</v>
      </c>
      <c r="P484" t="s">
        <v>40</v>
      </c>
      <c r="Q484" t="s">
        <v>53</v>
      </c>
      <c r="R484" t="s">
        <v>1094</v>
      </c>
      <c r="S484" t="s">
        <v>989</v>
      </c>
      <c r="T484" t="s">
        <v>837</v>
      </c>
      <c r="U484" t="s">
        <v>226</v>
      </c>
      <c r="V484" t="s">
        <v>43</v>
      </c>
      <c r="W484" t="s">
        <v>43</v>
      </c>
      <c r="X484" t="s">
        <v>1128</v>
      </c>
      <c r="Y484" s="4" t="s">
        <v>1129</v>
      </c>
      <c r="Z484" t="s">
        <v>45</v>
      </c>
      <c r="AA484" t="s">
        <v>351</v>
      </c>
      <c r="AB484" t="s">
        <v>43</v>
      </c>
      <c r="AC484" t="s">
        <v>43</v>
      </c>
      <c r="AD484" t="s">
        <v>43</v>
      </c>
      <c r="AE484" t="s">
        <v>43</v>
      </c>
      <c r="AF484" t="str">
        <f>AA484</f>
        <v>Wertwiesen (TSG) Rasen 1, Wertwiesen 8, 74081 Heilbronn-Sontheim</v>
      </c>
      <c r="AG484" t="str">
        <f>TRIM(MID(AF484, FIND(", ", AF484)+2, FIND(", ", AF484, FIND(", ", AF484)+1) - FIND(", ", AF484) - 2))</f>
        <v>Wertwiesen 8</v>
      </c>
      <c r="AH484" t="str">
        <f>_xlfn.TEXTBEFORE(_xlfn.TEXTAFTER(AF484, ", ", 2), " ")</f>
        <v>74081</v>
      </c>
      <c r="AI484" t="str">
        <f>_xlfn.TEXTAFTER(_xlfn.TEXTAFTER(AF484, ", ", 2), " ")</f>
        <v>Heilbronn-Sontheim</v>
      </c>
    </row>
    <row r="485" spans="1:35" x14ac:dyDescent="0.2">
      <c r="A485" t="str">
        <f>B485&amp;C485&amp;H485&amp;N485</f>
        <v>35000304TSV DuttenbergE-Junioren2</v>
      </c>
      <c r="B485" t="s">
        <v>1183</v>
      </c>
      <c r="C485" t="s">
        <v>1184</v>
      </c>
      <c r="D485" t="s">
        <v>77</v>
      </c>
      <c r="E485" t="s">
        <v>35</v>
      </c>
      <c r="F485" t="s">
        <v>36</v>
      </c>
      <c r="G485">
        <v>3</v>
      </c>
      <c r="H485" t="s">
        <v>1112</v>
      </c>
      <c r="I485" t="s">
        <v>114</v>
      </c>
      <c r="J485" t="s">
        <v>1113</v>
      </c>
      <c r="K485" t="s">
        <v>1219</v>
      </c>
      <c r="L485" t="s">
        <v>1403</v>
      </c>
      <c r="M485">
        <v>2</v>
      </c>
      <c r="N485">
        <v>2</v>
      </c>
      <c r="O485" t="s">
        <v>1230</v>
      </c>
      <c r="P485" t="s">
        <v>40</v>
      </c>
      <c r="Q485" t="s">
        <v>53</v>
      </c>
      <c r="R485" t="s">
        <v>1094</v>
      </c>
      <c r="S485" t="s">
        <v>1115</v>
      </c>
      <c r="T485" t="s">
        <v>837</v>
      </c>
      <c r="U485" s="2" t="s">
        <v>42</v>
      </c>
      <c r="V485" t="s">
        <v>43</v>
      </c>
      <c r="W485" t="s">
        <v>43</v>
      </c>
      <c r="X485" t="s">
        <v>1118</v>
      </c>
      <c r="Y485" s="4" t="s">
        <v>1231</v>
      </c>
      <c r="Z485" t="s">
        <v>45</v>
      </c>
      <c r="AA485" t="s">
        <v>1187</v>
      </c>
      <c r="AB485" t="s">
        <v>43</v>
      </c>
      <c r="AC485" t="s">
        <v>43</v>
      </c>
      <c r="AD485" t="s">
        <v>43</v>
      </c>
      <c r="AE485" t="s">
        <v>43</v>
      </c>
      <c r="AF485" t="str">
        <f>AA485</f>
        <v>Duttenberg Rasen, Zur Schön, 74177 Bad Friedrichshall-Duttenberg</v>
      </c>
      <c r="AG485" t="str">
        <f>TRIM(MID(AF485, FIND(", ", AF485)+2, FIND(", ", AF485, FIND(", ", AF485)+1) - FIND(", ", AF485) - 2))</f>
        <v>Zur Schön</v>
      </c>
      <c r="AH485" t="str">
        <f>_xlfn.TEXTBEFORE(_xlfn.TEXTAFTER(AF485, ", ", 2), " ")</f>
        <v>74177</v>
      </c>
      <c r="AI485" t="str">
        <f>_xlfn.TEXTAFTER(_xlfn.TEXTAFTER(AF485, ", ", 2), " ")</f>
        <v>Bad Friedrichshall-Duttenberg</v>
      </c>
    </row>
    <row r="486" spans="1:35" x14ac:dyDescent="0.2">
      <c r="A486" t="str">
        <f>B486&amp;C486&amp;H486&amp;N486</f>
        <v>35000537TSV HardthausenE-Junioren2</v>
      </c>
      <c r="B486" t="s">
        <v>75</v>
      </c>
      <c r="C486" t="s">
        <v>76</v>
      </c>
      <c r="D486" t="s">
        <v>77</v>
      </c>
      <c r="E486" t="s">
        <v>35</v>
      </c>
      <c r="F486" t="s">
        <v>36</v>
      </c>
      <c r="G486">
        <v>3</v>
      </c>
      <c r="H486" t="s">
        <v>1112</v>
      </c>
      <c r="I486" t="s">
        <v>114</v>
      </c>
      <c r="J486" t="s">
        <v>1113</v>
      </c>
      <c r="K486" t="s">
        <v>1219</v>
      </c>
      <c r="L486" t="s">
        <v>1403</v>
      </c>
      <c r="M486">
        <v>7</v>
      </c>
      <c r="N486">
        <v>2</v>
      </c>
      <c r="O486" t="s">
        <v>1225</v>
      </c>
      <c r="P486" t="s">
        <v>40</v>
      </c>
      <c r="Q486" t="s">
        <v>53</v>
      </c>
      <c r="R486" t="s">
        <v>1094</v>
      </c>
      <c r="S486" t="s">
        <v>1115</v>
      </c>
      <c r="T486" t="s">
        <v>837</v>
      </c>
      <c r="U486" t="s">
        <v>226</v>
      </c>
      <c r="V486" t="s">
        <v>43</v>
      </c>
      <c r="W486" t="s">
        <v>43</v>
      </c>
      <c r="Y486" t="s">
        <v>1226</v>
      </c>
      <c r="Z486" t="s">
        <v>45</v>
      </c>
      <c r="AA486" t="s">
        <v>80</v>
      </c>
      <c r="AB486" t="s">
        <v>43</v>
      </c>
      <c r="AC486" t="s">
        <v>43</v>
      </c>
      <c r="AD486" t="s">
        <v>43</v>
      </c>
      <c r="AE486" t="s">
        <v>43</v>
      </c>
      <c r="AF486" t="str">
        <f>AA486</f>
        <v>Hardthausen Rasen, Buchsmühle 1, 74239 Hardthausen</v>
      </c>
      <c r="AG486" t="str">
        <f>TRIM(MID(AF486, FIND(", ", AF486)+2, FIND(", ", AF486, FIND(", ", AF486)+1) - FIND(", ", AF486) - 2))</f>
        <v>Buchsmühle 1</v>
      </c>
      <c r="AH486" t="str">
        <f>_xlfn.TEXTBEFORE(_xlfn.TEXTAFTER(AF486, ", ", 2), " ")</f>
        <v>74239</v>
      </c>
      <c r="AI486" t="str">
        <f>_xlfn.TEXTAFTER(_xlfn.TEXTAFTER(AF486, ", ", 2), " ")</f>
        <v>Hardthausen</v>
      </c>
    </row>
    <row r="487" spans="1:35" x14ac:dyDescent="0.2">
      <c r="A487" t="str">
        <f>B487&amp;C487&amp;H487&amp;N487</f>
        <v>35000865Spvgg MöckmühlE-Junioren3</v>
      </c>
      <c r="B487" t="s">
        <v>639</v>
      </c>
      <c r="C487" t="s">
        <v>640</v>
      </c>
      <c r="D487" t="s">
        <v>77</v>
      </c>
      <c r="E487" t="s">
        <v>35</v>
      </c>
      <c r="F487" t="s">
        <v>36</v>
      </c>
      <c r="G487">
        <v>3</v>
      </c>
      <c r="H487" t="s">
        <v>1112</v>
      </c>
      <c r="I487" t="s">
        <v>114</v>
      </c>
      <c r="J487" t="s">
        <v>1113</v>
      </c>
      <c r="K487" t="s">
        <v>1219</v>
      </c>
      <c r="L487" t="s">
        <v>1403</v>
      </c>
      <c r="M487">
        <v>8</v>
      </c>
      <c r="N487">
        <v>3</v>
      </c>
      <c r="O487" t="s">
        <v>1227</v>
      </c>
      <c r="P487" t="s">
        <v>40</v>
      </c>
      <c r="Q487" t="s">
        <v>53</v>
      </c>
      <c r="R487" t="s">
        <v>1094</v>
      </c>
      <c r="S487" t="s">
        <v>1115</v>
      </c>
      <c r="T487" t="s">
        <v>837</v>
      </c>
      <c r="U487" t="s">
        <v>226</v>
      </c>
      <c r="V487" t="s">
        <v>43</v>
      </c>
      <c r="W487" t="s">
        <v>43</v>
      </c>
      <c r="Y487" t="s">
        <v>43</v>
      </c>
      <c r="Z487" t="s">
        <v>45</v>
      </c>
      <c r="AA487" t="s">
        <v>642</v>
      </c>
      <c r="AB487" t="s">
        <v>43</v>
      </c>
      <c r="AC487" t="s">
        <v>43</v>
      </c>
      <c r="AD487" t="s">
        <v>43</v>
      </c>
      <c r="AE487" t="s">
        <v>43</v>
      </c>
      <c r="AF487" t="str">
        <f>AA487</f>
        <v>Möckmühl Rasen 1, Züttlinger Str. 1, 74219 Möckmühl</v>
      </c>
      <c r="AG487" t="str">
        <f>TRIM(MID(AF487, FIND(", ", AF487)+2, FIND(", ", AF487, FIND(", ", AF487)+1) - FIND(", ", AF487) - 2))</f>
        <v>Züttlinger Str. 1</v>
      </c>
      <c r="AH487" t="str">
        <f>_xlfn.TEXTBEFORE(_xlfn.TEXTAFTER(AF487, ", ", 2), " ")</f>
        <v>74219</v>
      </c>
      <c r="AI487" t="str">
        <f>_xlfn.TEXTAFTER(_xlfn.TEXTAFTER(AF487, ", ", 2), " ")</f>
        <v>Möckmühl</v>
      </c>
    </row>
    <row r="488" spans="1:35" x14ac:dyDescent="0.2">
      <c r="A488" t="str">
        <f>B488&amp;C488&amp;H488&amp;N488</f>
        <v>35000904SC Neckarsulm-AmorbachE-Junioren4</v>
      </c>
      <c r="B488" t="s">
        <v>112</v>
      </c>
      <c r="C488" t="s">
        <v>113</v>
      </c>
      <c r="D488" t="s">
        <v>77</v>
      </c>
      <c r="E488" t="s">
        <v>35</v>
      </c>
      <c r="F488" t="s">
        <v>36</v>
      </c>
      <c r="G488">
        <v>3</v>
      </c>
      <c r="H488" t="s">
        <v>1112</v>
      </c>
      <c r="I488" t="s">
        <v>114</v>
      </c>
      <c r="J488" t="s">
        <v>1113</v>
      </c>
      <c r="K488" t="s">
        <v>1219</v>
      </c>
      <c r="L488" t="s">
        <v>1403</v>
      </c>
      <c r="M488">
        <v>1</v>
      </c>
      <c r="N488">
        <v>4</v>
      </c>
      <c r="O488" t="s">
        <v>1220</v>
      </c>
      <c r="P488" t="s">
        <v>40</v>
      </c>
      <c r="Q488" t="s">
        <v>40</v>
      </c>
      <c r="R488" t="s">
        <v>1094</v>
      </c>
      <c r="S488" t="s">
        <v>1115</v>
      </c>
      <c r="T488" t="s">
        <v>1000</v>
      </c>
      <c r="U488" t="s">
        <v>226</v>
      </c>
      <c r="V488" t="s">
        <v>43</v>
      </c>
      <c r="W488" t="s">
        <v>43</v>
      </c>
      <c r="Y488" t="s">
        <v>43</v>
      </c>
      <c r="Z488" t="s">
        <v>45</v>
      </c>
      <c r="AA488" t="s">
        <v>119</v>
      </c>
      <c r="AB488" t="s">
        <v>43</v>
      </c>
      <c r="AC488" t="s">
        <v>43</v>
      </c>
      <c r="AD488" t="s">
        <v>43</v>
      </c>
      <c r="AE488" t="s">
        <v>43</v>
      </c>
      <c r="AF488" t="str">
        <f>AA488</f>
        <v>Amorbach Kunstrasen, Schwabenweg 25, 74172 Neckarsulm-Amorbach</v>
      </c>
      <c r="AG488" t="str">
        <f>TRIM(MID(AF488, FIND(", ", AF488)+2, FIND(", ", AF488, FIND(", ", AF488)+1) - FIND(", ", AF488) - 2))</f>
        <v>Schwabenweg 25</v>
      </c>
      <c r="AH488" t="str">
        <f>_xlfn.TEXTBEFORE(_xlfn.TEXTAFTER(AF488, ", ", 2), " ")</f>
        <v>74172</v>
      </c>
      <c r="AI488" t="str">
        <f>_xlfn.TEXTAFTER(_xlfn.TEXTAFTER(AF488, ", ", 2), " ")</f>
        <v>Neckarsulm-Amorbach</v>
      </c>
    </row>
    <row r="489" spans="1:35" x14ac:dyDescent="0.2">
      <c r="A489" t="str">
        <f>B489&amp;C489&amp;H489&amp;N489</f>
        <v>35000921TSV NeudenauE-Junioren2</v>
      </c>
      <c r="B489" t="s">
        <v>453</v>
      </c>
      <c r="C489" t="s">
        <v>454</v>
      </c>
      <c r="D489" t="s">
        <v>77</v>
      </c>
      <c r="E489" t="s">
        <v>35</v>
      </c>
      <c r="F489" t="s">
        <v>36</v>
      </c>
      <c r="G489">
        <v>3</v>
      </c>
      <c r="H489" t="s">
        <v>1112</v>
      </c>
      <c r="I489" t="s">
        <v>114</v>
      </c>
      <c r="J489" t="s">
        <v>1113</v>
      </c>
      <c r="K489" t="s">
        <v>1219</v>
      </c>
      <c r="L489" t="s">
        <v>1403</v>
      </c>
      <c r="M489">
        <v>4</v>
      </c>
      <c r="N489">
        <v>2</v>
      </c>
      <c r="O489" t="s">
        <v>1221</v>
      </c>
      <c r="P489" t="s">
        <v>40</v>
      </c>
      <c r="Q489" t="s">
        <v>53</v>
      </c>
      <c r="R489" t="s">
        <v>1094</v>
      </c>
      <c r="S489" t="s">
        <v>1115</v>
      </c>
      <c r="T489" t="s">
        <v>837</v>
      </c>
      <c r="U489" t="s">
        <v>226</v>
      </c>
      <c r="V489" t="s">
        <v>43</v>
      </c>
      <c r="W489" t="s">
        <v>43</v>
      </c>
      <c r="X489" t="s">
        <v>1222</v>
      </c>
      <c r="Y489" s="4" t="s">
        <v>1223</v>
      </c>
      <c r="Z489" t="s">
        <v>45</v>
      </c>
      <c r="AA489" t="s">
        <v>977</v>
      </c>
      <c r="AB489" t="s">
        <v>43</v>
      </c>
      <c r="AC489" t="s">
        <v>43</v>
      </c>
      <c r="AD489" t="s">
        <v>43</v>
      </c>
      <c r="AE489" t="s">
        <v>43</v>
      </c>
      <c r="AF489" t="str">
        <f>AA489</f>
        <v>Neudenau Rasen 1, Siglinger Str., 74861 Neudenau-Zentrum</v>
      </c>
      <c r="AG489" t="str">
        <f>TRIM(MID(AF489, FIND(", ", AF489)+2, FIND(", ", AF489, FIND(", ", AF489)+1) - FIND(", ", AF489) - 2))</f>
        <v>Siglinger Str.</v>
      </c>
      <c r="AH489" t="str">
        <f>_xlfn.TEXTBEFORE(_xlfn.TEXTAFTER(AF489, ", ", 2), " ")</f>
        <v>74861</v>
      </c>
      <c r="AI489" t="str">
        <f>_xlfn.TEXTAFTER(_xlfn.TEXTAFTER(AF489, ", ", 2), " ")</f>
        <v>Neudenau-Zentrum</v>
      </c>
    </row>
    <row r="490" spans="1:35" x14ac:dyDescent="0.2">
      <c r="A490" t="str">
        <f>B490&amp;C490&amp;H490&amp;N490</f>
        <v>35000923TSV NeuenstadtE-Junioren3</v>
      </c>
      <c r="B490" t="s">
        <v>141</v>
      </c>
      <c r="C490" t="s">
        <v>142</v>
      </c>
      <c r="D490" t="s">
        <v>77</v>
      </c>
      <c r="E490" t="s">
        <v>35</v>
      </c>
      <c r="F490" t="s">
        <v>36</v>
      </c>
      <c r="G490">
        <v>3</v>
      </c>
      <c r="H490" t="s">
        <v>1112</v>
      </c>
      <c r="I490" t="s">
        <v>114</v>
      </c>
      <c r="J490" t="s">
        <v>1113</v>
      </c>
      <c r="K490" t="s">
        <v>1219</v>
      </c>
      <c r="L490" t="s">
        <v>1403</v>
      </c>
      <c r="M490">
        <v>3</v>
      </c>
      <c r="N490">
        <v>3</v>
      </c>
      <c r="O490" t="s">
        <v>1224</v>
      </c>
      <c r="P490" t="s">
        <v>40</v>
      </c>
      <c r="Q490" t="s">
        <v>53</v>
      </c>
      <c r="R490" t="s">
        <v>1094</v>
      </c>
      <c r="S490" t="s">
        <v>1115</v>
      </c>
      <c r="T490" t="s">
        <v>837</v>
      </c>
      <c r="U490" s="2" t="s">
        <v>226</v>
      </c>
      <c r="V490" t="s">
        <v>43</v>
      </c>
      <c r="W490" t="s">
        <v>43</v>
      </c>
      <c r="Y490" t="s">
        <v>43</v>
      </c>
      <c r="Z490" t="s">
        <v>45</v>
      </c>
      <c r="AA490" t="s">
        <v>1160</v>
      </c>
      <c r="AB490" t="s">
        <v>43</v>
      </c>
      <c r="AC490" t="s">
        <v>43</v>
      </c>
      <c r="AD490" t="s">
        <v>43</v>
      </c>
      <c r="AE490" t="s">
        <v>43</v>
      </c>
      <c r="AF490" t="str">
        <f>AA490</f>
        <v>Neuenstadt Kunstrasen, Cleversulzbacher Str. 89, 74196 Neuenstadt am Kocher</v>
      </c>
      <c r="AG490" t="str">
        <f>TRIM(MID(AF490, FIND(", ", AF490)+2, FIND(", ", AF490, FIND(", ", AF490)+1) - FIND(", ", AF490) - 2))</f>
        <v>Cleversulzbacher Str. 89</v>
      </c>
      <c r="AH490" t="str">
        <f>_xlfn.TEXTBEFORE(_xlfn.TEXTAFTER(AF490, ", ", 2), " ")</f>
        <v>74196</v>
      </c>
      <c r="AI490" t="str">
        <f>_xlfn.TEXTAFTER(_xlfn.TEXTAFTER(AF490, ", ", 2), " ")</f>
        <v>Neuenstadt am Kocher</v>
      </c>
    </row>
    <row r="491" spans="1:35" x14ac:dyDescent="0.2">
      <c r="A491" t="str">
        <f>B491&amp;C491&amp;H491&amp;N491</f>
        <v>35001000Spvgg OedheimE-Junioren2</v>
      </c>
      <c r="B491" t="s">
        <v>381</v>
      </c>
      <c r="C491" t="s">
        <v>382</v>
      </c>
      <c r="D491" t="s">
        <v>77</v>
      </c>
      <c r="E491" t="s">
        <v>35</v>
      </c>
      <c r="F491" t="s">
        <v>36</v>
      </c>
      <c r="G491">
        <v>3</v>
      </c>
      <c r="H491" t="s">
        <v>1112</v>
      </c>
      <c r="I491" t="s">
        <v>114</v>
      </c>
      <c r="J491" t="s">
        <v>1113</v>
      </c>
      <c r="K491" t="s">
        <v>1219</v>
      </c>
      <c r="L491" t="s">
        <v>1403</v>
      </c>
      <c r="M491">
        <v>5</v>
      </c>
      <c r="N491">
        <v>2</v>
      </c>
      <c r="O491" t="s">
        <v>1228</v>
      </c>
      <c r="P491" t="s">
        <v>40</v>
      </c>
      <c r="Q491" t="s">
        <v>53</v>
      </c>
      <c r="R491" t="s">
        <v>1094</v>
      </c>
      <c r="S491" t="s">
        <v>1115</v>
      </c>
      <c r="T491" t="s">
        <v>974</v>
      </c>
      <c r="U491" t="s">
        <v>226</v>
      </c>
      <c r="V491" t="s">
        <v>43</v>
      </c>
      <c r="W491" t="s">
        <v>43</v>
      </c>
      <c r="Y491" t="s">
        <v>980</v>
      </c>
      <c r="Z491" t="s">
        <v>45</v>
      </c>
      <c r="AA491" t="s">
        <v>857</v>
      </c>
      <c r="AB491" t="s">
        <v>43</v>
      </c>
      <c r="AC491" t="s">
        <v>43</v>
      </c>
      <c r="AD491" t="s">
        <v>43</v>
      </c>
      <c r="AE491" t="s">
        <v>43</v>
      </c>
      <c r="AF491" t="str">
        <f>AA491</f>
        <v>Oedheim Kunstrasen, Mörikestr. 37, 74229 Oedheim</v>
      </c>
      <c r="AG491" t="str">
        <f>TRIM(MID(AF491, FIND(", ", AF491)+2, FIND(", ", AF491, FIND(", ", AF491)+1) - FIND(", ", AF491) - 2))</f>
        <v>Mörikestr. 37</v>
      </c>
      <c r="AH491" t="str">
        <f>_xlfn.TEXTBEFORE(_xlfn.TEXTAFTER(AF491, ", ", 2), " ")</f>
        <v>74229</v>
      </c>
      <c r="AI491" t="str">
        <f>_xlfn.TEXTAFTER(_xlfn.TEXTAFTER(AF491, ", ", 2), " ")</f>
        <v>Oedheim</v>
      </c>
    </row>
    <row r="492" spans="1:35" x14ac:dyDescent="0.2">
      <c r="A492" t="str">
        <f>B492&amp;C492&amp;H492&amp;N492</f>
        <v>35001011TG OffenauE-Junioren2</v>
      </c>
      <c r="B492" t="s">
        <v>1139</v>
      </c>
      <c r="C492" t="s">
        <v>1140</v>
      </c>
      <c r="D492" t="s">
        <v>77</v>
      </c>
      <c r="E492" t="s">
        <v>35</v>
      </c>
      <c r="F492" t="s">
        <v>36</v>
      </c>
      <c r="G492">
        <v>3</v>
      </c>
      <c r="H492" t="s">
        <v>1112</v>
      </c>
      <c r="I492" t="s">
        <v>114</v>
      </c>
      <c r="J492" t="s">
        <v>1113</v>
      </c>
      <c r="K492" t="s">
        <v>1219</v>
      </c>
      <c r="L492" t="s">
        <v>1403</v>
      </c>
      <c r="M492">
        <v>6</v>
      </c>
      <c r="N492">
        <v>2</v>
      </c>
      <c r="O492" t="s">
        <v>1229</v>
      </c>
      <c r="P492" t="s">
        <v>40</v>
      </c>
      <c r="Q492" t="s">
        <v>53</v>
      </c>
      <c r="R492" t="s">
        <v>1094</v>
      </c>
      <c r="S492" t="s">
        <v>989</v>
      </c>
      <c r="T492" t="s">
        <v>1000</v>
      </c>
      <c r="U492" t="s">
        <v>226</v>
      </c>
      <c r="V492" t="s">
        <v>43</v>
      </c>
      <c r="W492" t="s">
        <v>43</v>
      </c>
      <c r="Y492" t="s">
        <v>43</v>
      </c>
      <c r="Z492" t="s">
        <v>45</v>
      </c>
      <c r="AA492" t="s">
        <v>1142</v>
      </c>
      <c r="AB492" t="s">
        <v>43</v>
      </c>
      <c r="AC492" t="s">
        <v>43</v>
      </c>
      <c r="AD492" t="s">
        <v>43</v>
      </c>
      <c r="AE492" t="s">
        <v>43</v>
      </c>
      <c r="AF492" t="str">
        <f>AA492</f>
        <v>Offenau Rasen 1, Mühlweg, 74254 Offenau-Zentrum</v>
      </c>
      <c r="AG492" t="str">
        <f>TRIM(MID(AF492, FIND(", ", AF492)+2, FIND(", ", AF492, FIND(", ", AF492)+1) - FIND(", ", AF492) - 2))</f>
        <v>Mühlweg</v>
      </c>
      <c r="AH492" t="str">
        <f>_xlfn.TEXTBEFORE(_xlfn.TEXTAFTER(AF492, ", ", 2), " ")</f>
        <v>74254</v>
      </c>
      <c r="AI492" t="str">
        <f>_xlfn.TEXTAFTER(_xlfn.TEXTAFTER(AF492, ", ", 2), " ")</f>
        <v>Offenau-Zentrum</v>
      </c>
    </row>
    <row r="493" spans="1:35" x14ac:dyDescent="0.2">
      <c r="A493" t="str">
        <f>B493&amp;C493&amp;H493&amp;N493</f>
        <v>35000370TSV ErlenbachE-Junioren2</v>
      </c>
      <c r="B493" t="s">
        <v>701</v>
      </c>
      <c r="C493" t="s">
        <v>702</v>
      </c>
      <c r="D493" t="s">
        <v>34</v>
      </c>
      <c r="E493" t="s">
        <v>35</v>
      </c>
      <c r="F493" t="s">
        <v>36</v>
      </c>
      <c r="G493">
        <v>3</v>
      </c>
      <c r="H493" t="s">
        <v>1112</v>
      </c>
      <c r="I493" t="s">
        <v>114</v>
      </c>
      <c r="J493" t="s">
        <v>1113</v>
      </c>
      <c r="K493" t="s">
        <v>1232</v>
      </c>
      <c r="L493" t="s">
        <v>1404</v>
      </c>
      <c r="M493">
        <v>4</v>
      </c>
      <c r="N493">
        <v>2</v>
      </c>
      <c r="O493" t="s">
        <v>1239</v>
      </c>
      <c r="P493" t="s">
        <v>40</v>
      </c>
      <c r="Q493" t="s">
        <v>53</v>
      </c>
      <c r="R493" t="s">
        <v>1094</v>
      </c>
      <c r="S493" t="s">
        <v>1115</v>
      </c>
      <c r="T493" t="s">
        <v>837</v>
      </c>
      <c r="U493" t="s">
        <v>226</v>
      </c>
      <c r="V493" t="s">
        <v>43</v>
      </c>
      <c r="W493" t="s">
        <v>43</v>
      </c>
      <c r="X493" t="s">
        <v>982</v>
      </c>
      <c r="Y493" s="4" t="s">
        <v>1120</v>
      </c>
      <c r="Z493" t="s">
        <v>45</v>
      </c>
      <c r="AA493" t="s">
        <v>704</v>
      </c>
      <c r="AB493" t="s">
        <v>43</v>
      </c>
      <c r="AC493" t="s">
        <v>43</v>
      </c>
      <c r="AD493" t="s">
        <v>43</v>
      </c>
      <c r="AE493" t="s">
        <v>43</v>
      </c>
      <c r="AF493" t="str">
        <f>AA493</f>
        <v>Erlenbach Kunstrasen, Talstr. 21, 74235 Erlenbach-Zentrum</v>
      </c>
      <c r="AG493" t="str">
        <f>TRIM(MID(AF493, FIND(", ", AF493)+2, FIND(", ", AF493, FIND(", ", AF493)+1) - FIND(", ", AF493) - 2))</f>
        <v>Talstr. 21</v>
      </c>
      <c r="AH493" t="str">
        <f>_xlfn.TEXTBEFORE(_xlfn.TEXTAFTER(AF493, ", ", 2), " ")</f>
        <v>74235</v>
      </c>
      <c r="AI493" t="str">
        <f>_xlfn.TEXTAFTER(_xlfn.TEXTAFTER(AF493, ", ", 2), " ")</f>
        <v>Erlenbach-Zentrum</v>
      </c>
    </row>
    <row r="494" spans="1:35" x14ac:dyDescent="0.2">
      <c r="A494" t="str">
        <f>B494&amp;C494&amp;H494&amp;N494</f>
        <v>35000411Sportverein Heilbronn am Leinbach 1891E-Junioren4</v>
      </c>
      <c r="B494" t="s">
        <v>223</v>
      </c>
      <c r="C494" t="s">
        <v>224</v>
      </c>
      <c r="D494" t="s">
        <v>34</v>
      </c>
      <c r="E494" t="s">
        <v>35</v>
      </c>
      <c r="F494" t="s">
        <v>36</v>
      </c>
      <c r="G494">
        <v>3</v>
      </c>
      <c r="H494" t="s">
        <v>1112</v>
      </c>
      <c r="I494" t="s">
        <v>114</v>
      </c>
      <c r="J494" t="s">
        <v>1113</v>
      </c>
      <c r="K494" t="s">
        <v>1232</v>
      </c>
      <c r="L494" t="s">
        <v>1404</v>
      </c>
      <c r="M494">
        <v>6</v>
      </c>
      <c r="N494">
        <v>4</v>
      </c>
      <c r="O494" t="s">
        <v>1029</v>
      </c>
      <c r="P494" t="s">
        <v>40</v>
      </c>
      <c r="Q494" t="s">
        <v>53</v>
      </c>
      <c r="R494" t="s">
        <v>1094</v>
      </c>
      <c r="S494" t="s">
        <v>1115</v>
      </c>
      <c r="T494" t="s">
        <v>974</v>
      </c>
      <c r="U494" t="s">
        <v>226</v>
      </c>
      <c r="V494" t="s">
        <v>43</v>
      </c>
      <c r="W494" t="s">
        <v>43</v>
      </c>
      <c r="Y494" t="s">
        <v>43</v>
      </c>
      <c r="Z494" t="s">
        <v>45</v>
      </c>
      <c r="AA494" t="s">
        <v>490</v>
      </c>
      <c r="AB494" t="s">
        <v>43</v>
      </c>
      <c r="AC494" t="s">
        <v>43</v>
      </c>
      <c r="AD494" t="s">
        <v>43</v>
      </c>
      <c r="AE494" t="s">
        <v>43</v>
      </c>
      <c r="AF494" t="str">
        <f>AA494</f>
        <v>Neckargartach Rasen 1, Böllinger Str. 40, 74078 Heilbronn-Neckargartach</v>
      </c>
      <c r="AG494" t="str">
        <f>TRIM(MID(AF494, FIND(", ", AF494)+2, FIND(", ", AF494, FIND(", ", AF494)+1) - FIND(", ", AF494) - 2))</f>
        <v>Böllinger Str. 40</v>
      </c>
      <c r="AH494" t="str">
        <f>_xlfn.TEXTBEFORE(_xlfn.TEXTAFTER(AF494, ", ", 2), " ")</f>
        <v>74078</v>
      </c>
      <c r="AI494" t="str">
        <f>_xlfn.TEXTAFTER(_xlfn.TEXTAFTER(AF494, ", ", 2), " ")</f>
        <v>Heilbronn-Neckargartach</v>
      </c>
    </row>
    <row r="495" spans="1:35" x14ac:dyDescent="0.2">
      <c r="A495" t="str">
        <f>B495&amp;C495&amp;H495&amp;N495</f>
        <v>35000905Neckarsulmer Sport-UnionE-Junioren3</v>
      </c>
      <c r="B495" t="s">
        <v>97</v>
      </c>
      <c r="C495" t="s">
        <v>98</v>
      </c>
      <c r="D495" t="s">
        <v>34</v>
      </c>
      <c r="E495" t="s">
        <v>35</v>
      </c>
      <c r="F495" t="s">
        <v>36</v>
      </c>
      <c r="G495">
        <v>3</v>
      </c>
      <c r="H495" t="s">
        <v>1112</v>
      </c>
      <c r="I495" t="s">
        <v>114</v>
      </c>
      <c r="J495" t="s">
        <v>1113</v>
      </c>
      <c r="K495" t="s">
        <v>1232</v>
      </c>
      <c r="L495" t="s">
        <v>1404</v>
      </c>
      <c r="M495">
        <v>7</v>
      </c>
      <c r="N495">
        <v>3</v>
      </c>
      <c r="O495" t="s">
        <v>1004</v>
      </c>
      <c r="P495" t="s">
        <v>40</v>
      </c>
      <c r="Q495" t="s">
        <v>53</v>
      </c>
      <c r="R495" t="s">
        <v>1094</v>
      </c>
      <c r="S495" t="s">
        <v>1115</v>
      </c>
      <c r="T495" t="s">
        <v>837</v>
      </c>
      <c r="U495" s="2" t="s">
        <v>42</v>
      </c>
      <c r="V495" t="s">
        <v>43</v>
      </c>
      <c r="W495" t="s">
        <v>43</v>
      </c>
      <c r="Y495" t="s">
        <v>43</v>
      </c>
      <c r="Z495" t="s">
        <v>45</v>
      </c>
      <c r="AA495" t="s">
        <v>1136</v>
      </c>
      <c r="AB495" t="s">
        <v>43</v>
      </c>
      <c r="AC495" t="s">
        <v>43</v>
      </c>
      <c r="AD495" t="s">
        <v>43</v>
      </c>
      <c r="AE495" t="s">
        <v>43</v>
      </c>
      <c r="AF495" t="str">
        <f>AA495</f>
        <v>Neckarsulm Pichterich Kunstrasen (Kleinfeld), Pichterichstr. 71, 74172 Neckarsulm</v>
      </c>
      <c r="AG495" t="str">
        <f>TRIM(MID(AF495, FIND(", ", AF495)+2, FIND(", ", AF495, FIND(", ", AF495)+1) - FIND(", ", AF495) - 2))</f>
        <v>Pichterichstr. 71</v>
      </c>
      <c r="AH495" t="str">
        <f>_xlfn.TEXTBEFORE(_xlfn.TEXTAFTER(AF495, ", ", 2), " ")</f>
        <v>74172</v>
      </c>
      <c r="AI495" t="str">
        <f>_xlfn.TEXTAFTER(_xlfn.TEXTAFTER(AF495, ", ", 2), " ")</f>
        <v>Neckarsulm</v>
      </c>
    </row>
    <row r="496" spans="1:35" x14ac:dyDescent="0.2">
      <c r="A496" t="str">
        <f>B496&amp;C496&amp;H496&amp;N496</f>
        <v>35001178SV SülzbachE-Junioren2</v>
      </c>
      <c r="B496" t="s">
        <v>858</v>
      </c>
      <c r="C496" t="s">
        <v>859</v>
      </c>
      <c r="D496" t="s">
        <v>34</v>
      </c>
      <c r="E496" t="s">
        <v>35</v>
      </c>
      <c r="F496" t="s">
        <v>36</v>
      </c>
      <c r="G496">
        <v>3</v>
      </c>
      <c r="H496" t="s">
        <v>1112</v>
      </c>
      <c r="I496" t="s">
        <v>114</v>
      </c>
      <c r="J496" t="s">
        <v>1113</v>
      </c>
      <c r="K496" t="s">
        <v>1232</v>
      </c>
      <c r="L496" t="s">
        <v>1404</v>
      </c>
      <c r="M496">
        <v>5</v>
      </c>
      <c r="N496">
        <v>2</v>
      </c>
      <c r="O496" t="s">
        <v>1238</v>
      </c>
      <c r="P496" t="s">
        <v>40</v>
      </c>
      <c r="Q496" t="s">
        <v>53</v>
      </c>
      <c r="R496" t="s">
        <v>1094</v>
      </c>
      <c r="S496" t="s">
        <v>1115</v>
      </c>
      <c r="T496" t="s">
        <v>974</v>
      </c>
      <c r="U496" t="s">
        <v>226</v>
      </c>
      <c r="V496" t="s">
        <v>43</v>
      </c>
      <c r="W496" t="s">
        <v>43</v>
      </c>
      <c r="Y496" t="s">
        <v>43</v>
      </c>
      <c r="Z496" t="s">
        <v>45</v>
      </c>
      <c r="AA496" t="s">
        <v>251</v>
      </c>
      <c r="AB496" t="s">
        <v>43</v>
      </c>
      <c r="AC496" t="s">
        <v>43</v>
      </c>
      <c r="AD496" t="s">
        <v>43</v>
      </c>
      <c r="AE496" t="s">
        <v>43</v>
      </c>
      <c r="AF496" t="str">
        <f>AA496</f>
        <v>Sülzbach Rasen, Talstr. 25, 74182 Obersulm-Sülzbach</v>
      </c>
      <c r="AG496" t="str">
        <f>TRIM(MID(AF496, FIND(", ", AF496)+2, FIND(", ", AF496, FIND(", ", AF496)+1) - FIND(", ", AF496) - 2))</f>
        <v>Talstr. 25</v>
      </c>
      <c r="AH496" t="str">
        <f>_xlfn.TEXTBEFORE(_xlfn.TEXTAFTER(AF496, ", ", 2), " ")</f>
        <v>74182</v>
      </c>
      <c r="AI496" t="str">
        <f>_xlfn.TEXTAFTER(_xlfn.TEXTAFTER(AF496, ", ", 2), " ")</f>
        <v>Obersulm-Sülzbach</v>
      </c>
    </row>
    <row r="497" spans="1:35" x14ac:dyDescent="0.2">
      <c r="A497" t="str">
        <f>B497&amp;C497&amp;H497&amp;N497</f>
        <v>35001762FC ObersulmE-Junioren2</v>
      </c>
      <c r="B497" t="s">
        <v>473</v>
      </c>
      <c r="C497" t="s">
        <v>474</v>
      </c>
      <c r="D497" t="s">
        <v>34</v>
      </c>
      <c r="E497" t="s">
        <v>35</v>
      </c>
      <c r="F497" t="s">
        <v>36</v>
      </c>
      <c r="G497">
        <v>3</v>
      </c>
      <c r="H497" t="s">
        <v>1112</v>
      </c>
      <c r="I497" t="s">
        <v>114</v>
      </c>
      <c r="J497" t="s">
        <v>1113</v>
      </c>
      <c r="K497" t="s">
        <v>1232</v>
      </c>
      <c r="L497" t="s">
        <v>1404</v>
      </c>
      <c r="M497">
        <v>2</v>
      </c>
      <c r="N497">
        <v>2</v>
      </c>
      <c r="O497" t="s">
        <v>1233</v>
      </c>
      <c r="P497" t="s">
        <v>40</v>
      </c>
      <c r="Q497" t="s">
        <v>53</v>
      </c>
      <c r="R497" t="s">
        <v>1094</v>
      </c>
      <c r="S497" t="s">
        <v>1115</v>
      </c>
      <c r="T497" t="s">
        <v>837</v>
      </c>
      <c r="U497" t="s">
        <v>226</v>
      </c>
      <c r="V497" t="s">
        <v>43</v>
      </c>
      <c r="W497" t="s">
        <v>43</v>
      </c>
      <c r="Y497" t="s">
        <v>43</v>
      </c>
      <c r="Z497" t="s">
        <v>45</v>
      </c>
      <c r="AA497" t="s">
        <v>477</v>
      </c>
      <c r="AB497" t="s">
        <v>43</v>
      </c>
      <c r="AC497" t="s">
        <v>43</v>
      </c>
      <c r="AD497" t="s">
        <v>43</v>
      </c>
      <c r="AE497" t="s">
        <v>43</v>
      </c>
      <c r="AF497" t="str">
        <f>AA497</f>
        <v>Affaltrach Rasen, Michelbachstr., 74182 Obersulm-Affaltrach</v>
      </c>
      <c r="AG497" t="str">
        <f>TRIM(MID(AF497, FIND(", ", AF497)+2, FIND(", ", AF497, FIND(", ", AF497)+1) - FIND(", ", AF497) - 2))</f>
        <v>Michelbachstr.</v>
      </c>
      <c r="AH497" t="str">
        <f>_xlfn.TEXTBEFORE(_xlfn.TEXTAFTER(AF497, ", ", 2), " ")</f>
        <v>74182</v>
      </c>
      <c r="AI497" t="str">
        <f>_xlfn.TEXTAFTER(_xlfn.TEXTAFTER(AF497, ", ", 2), " ")</f>
        <v>Obersulm-Affaltrach</v>
      </c>
    </row>
    <row r="498" spans="1:35" x14ac:dyDescent="0.2">
      <c r="A498" t="str">
        <f>B498&amp;C498&amp;H498&amp;N498</f>
        <v>35000537TSV HardthausenE-Junioren3</v>
      </c>
      <c r="B498" t="s">
        <v>75</v>
      </c>
      <c r="C498" t="s">
        <v>76</v>
      </c>
      <c r="D498" t="s">
        <v>77</v>
      </c>
      <c r="E498" t="s">
        <v>35</v>
      </c>
      <c r="F498" t="s">
        <v>36</v>
      </c>
      <c r="G498">
        <v>3</v>
      </c>
      <c r="H498" t="s">
        <v>1112</v>
      </c>
      <c r="I498" t="s">
        <v>114</v>
      </c>
      <c r="J498" t="s">
        <v>1113</v>
      </c>
      <c r="K498" t="s">
        <v>1232</v>
      </c>
      <c r="L498" t="s">
        <v>1404</v>
      </c>
      <c r="M498">
        <v>3</v>
      </c>
      <c r="N498">
        <v>3</v>
      </c>
      <c r="O498" t="s">
        <v>1235</v>
      </c>
      <c r="P498" t="s">
        <v>40</v>
      </c>
      <c r="Q498" t="s">
        <v>53</v>
      </c>
      <c r="R498" t="s">
        <v>1094</v>
      </c>
      <c r="S498" t="s">
        <v>1115</v>
      </c>
      <c r="T498" t="s">
        <v>974</v>
      </c>
      <c r="U498" t="s">
        <v>226</v>
      </c>
      <c r="V498" t="s">
        <v>43</v>
      </c>
      <c r="W498" t="s">
        <v>43</v>
      </c>
      <c r="Y498" t="s">
        <v>1236</v>
      </c>
      <c r="Z498" t="s">
        <v>45</v>
      </c>
      <c r="AA498" t="s">
        <v>1237</v>
      </c>
      <c r="AB498" t="s">
        <v>43</v>
      </c>
      <c r="AC498" t="s">
        <v>43</v>
      </c>
      <c r="AD498" t="s">
        <v>43</v>
      </c>
      <c r="AE498" t="s">
        <v>43</v>
      </c>
      <c r="AF498" t="str">
        <f>AA498</f>
        <v>Sportplatz 1 Langenbeutingen, Schwabbacher Str., 74243 Langenbrettach-Langenbeutingen</v>
      </c>
      <c r="AG498" t="str">
        <f>TRIM(MID(AF498, FIND(", ", AF498)+2, FIND(", ", AF498, FIND(", ", AF498)+1) - FIND(", ", AF498) - 2))</f>
        <v>Schwabbacher Str.</v>
      </c>
      <c r="AH498" t="str">
        <f>_xlfn.TEXTBEFORE(_xlfn.TEXTAFTER(AF498, ", ", 2), " ")</f>
        <v>74243</v>
      </c>
      <c r="AI498" t="str">
        <f>_xlfn.TEXTAFTER(_xlfn.TEXTAFTER(AF498, ", ", 2), " ")</f>
        <v>Langenbrettach-Langenbeutingen</v>
      </c>
    </row>
    <row r="499" spans="1:35" x14ac:dyDescent="0.2">
      <c r="A499" t="str">
        <f>B499&amp;C499&amp;H499&amp;N499</f>
        <v>35000904SC Neckarsulm-AmorbachE-Junioren5</v>
      </c>
      <c r="B499" t="s">
        <v>112</v>
      </c>
      <c r="C499" t="s">
        <v>113</v>
      </c>
      <c r="D499" t="s">
        <v>77</v>
      </c>
      <c r="E499" t="s">
        <v>35</v>
      </c>
      <c r="F499" t="s">
        <v>36</v>
      </c>
      <c r="G499">
        <v>3</v>
      </c>
      <c r="H499" t="s">
        <v>1112</v>
      </c>
      <c r="I499" t="s">
        <v>114</v>
      </c>
      <c r="J499" t="s">
        <v>1113</v>
      </c>
      <c r="K499" t="s">
        <v>1232</v>
      </c>
      <c r="L499" t="s">
        <v>1404</v>
      </c>
      <c r="M499">
        <v>8</v>
      </c>
      <c r="N499">
        <v>5</v>
      </c>
      <c r="O499" t="s">
        <v>1234</v>
      </c>
      <c r="P499" t="s">
        <v>40</v>
      </c>
      <c r="Q499" t="s">
        <v>53</v>
      </c>
      <c r="R499" t="s">
        <v>1094</v>
      </c>
      <c r="S499" t="s">
        <v>1115</v>
      </c>
      <c r="T499" t="s">
        <v>837</v>
      </c>
      <c r="U499" s="2" t="s">
        <v>226</v>
      </c>
      <c r="V499" t="s">
        <v>43</v>
      </c>
      <c r="W499" t="s">
        <v>43</v>
      </c>
      <c r="Y499" t="s">
        <v>43</v>
      </c>
      <c r="Z499" t="s">
        <v>45</v>
      </c>
      <c r="AA499" t="s">
        <v>119</v>
      </c>
      <c r="AB499" t="s">
        <v>43</v>
      </c>
      <c r="AC499" t="s">
        <v>43</v>
      </c>
      <c r="AD499" t="s">
        <v>43</v>
      </c>
      <c r="AE499" t="s">
        <v>43</v>
      </c>
      <c r="AF499" t="str">
        <f>AA499</f>
        <v>Amorbach Kunstrasen, Schwabenweg 25, 74172 Neckarsulm-Amorbach</v>
      </c>
      <c r="AG499" t="str">
        <f>TRIM(MID(AF499, FIND(", ", AF499)+2, FIND(", ", AF499, FIND(", ", AF499)+1) - FIND(", ", AF499) - 2))</f>
        <v>Schwabenweg 25</v>
      </c>
      <c r="AH499" t="str">
        <f>_xlfn.TEXTBEFORE(_xlfn.TEXTAFTER(AF499, ", ", 2), " ")</f>
        <v>74172</v>
      </c>
      <c r="AI499" t="str">
        <f>_xlfn.TEXTAFTER(_xlfn.TEXTAFTER(AF499, ", ", 2), " ")</f>
        <v>Neckarsulm-Amorbach</v>
      </c>
    </row>
    <row r="500" spans="1:35" x14ac:dyDescent="0.2">
      <c r="A500" t="str">
        <f>B500&amp;C500&amp;H500&amp;N500</f>
        <v>35000006SC AbstattE-Junioren2</v>
      </c>
      <c r="B500" t="s">
        <v>154</v>
      </c>
      <c r="C500" t="s">
        <v>155</v>
      </c>
      <c r="D500" t="s">
        <v>34</v>
      </c>
      <c r="E500" t="s">
        <v>35</v>
      </c>
      <c r="F500" t="s">
        <v>36</v>
      </c>
      <c r="G500">
        <v>3</v>
      </c>
      <c r="H500" t="s">
        <v>1112</v>
      </c>
      <c r="I500" t="s">
        <v>114</v>
      </c>
      <c r="J500" t="s">
        <v>1113</v>
      </c>
      <c r="K500" t="s">
        <v>1242</v>
      </c>
      <c r="L500" t="s">
        <v>1405</v>
      </c>
      <c r="M500">
        <v>8</v>
      </c>
      <c r="N500">
        <v>2</v>
      </c>
      <c r="O500" t="s">
        <v>1248</v>
      </c>
      <c r="P500" t="s">
        <v>40</v>
      </c>
      <c r="Q500" t="s">
        <v>53</v>
      </c>
      <c r="R500" t="s">
        <v>1094</v>
      </c>
      <c r="S500" t="s">
        <v>1115</v>
      </c>
      <c r="T500" t="s">
        <v>837</v>
      </c>
      <c r="U500" t="s">
        <v>226</v>
      </c>
      <c r="V500" t="s">
        <v>43</v>
      </c>
      <c r="W500" t="s">
        <v>43</v>
      </c>
      <c r="Y500" t="s">
        <v>43</v>
      </c>
      <c r="Z500" t="s">
        <v>45</v>
      </c>
      <c r="AA500" t="s">
        <v>157</v>
      </c>
      <c r="AB500" t="s">
        <v>43</v>
      </c>
      <c r="AC500" t="s">
        <v>43</v>
      </c>
      <c r="AD500" t="s">
        <v>43</v>
      </c>
      <c r="AE500" t="s">
        <v>43</v>
      </c>
      <c r="AF500" t="str">
        <f>AA500</f>
        <v>Abstatt Kunstrasen, Kirschenwiesen, 74232 Abstatt-Zentrum</v>
      </c>
      <c r="AG500" t="str">
        <f>TRIM(MID(AF500, FIND(", ", AF500)+2, FIND(", ", AF500, FIND(", ", AF500)+1) - FIND(", ", AF500) - 2))</f>
        <v>Kirschenwiesen</v>
      </c>
      <c r="AH500" t="str">
        <f>_xlfn.TEXTBEFORE(_xlfn.TEXTAFTER(AF500, ", ", 2), " ")</f>
        <v>74232</v>
      </c>
      <c r="AI500" t="str">
        <f>_xlfn.TEXTAFTER(_xlfn.TEXTAFTER(AF500, ", ", 2), " ")</f>
        <v>Abstatt-Zentrum</v>
      </c>
    </row>
    <row r="501" spans="1:35" x14ac:dyDescent="0.2">
      <c r="A501" t="str">
        <f>B501&amp;C501&amp;H501&amp;N501</f>
        <v>35000079SSV AuensteinE-Junioren2</v>
      </c>
      <c r="B501" t="s">
        <v>271</v>
      </c>
      <c r="C501" t="s">
        <v>272</v>
      </c>
      <c r="D501" t="s">
        <v>34</v>
      </c>
      <c r="E501" t="s">
        <v>35</v>
      </c>
      <c r="F501" t="s">
        <v>36</v>
      </c>
      <c r="G501">
        <v>3</v>
      </c>
      <c r="H501" t="s">
        <v>1112</v>
      </c>
      <c r="I501" t="s">
        <v>114</v>
      </c>
      <c r="J501" t="s">
        <v>1113</v>
      </c>
      <c r="K501" t="s">
        <v>1242</v>
      </c>
      <c r="L501" t="s">
        <v>1405</v>
      </c>
      <c r="M501">
        <v>6</v>
      </c>
      <c r="N501">
        <v>2</v>
      </c>
      <c r="O501" t="s">
        <v>1249</v>
      </c>
      <c r="P501" t="s">
        <v>40</v>
      </c>
      <c r="Q501" t="s">
        <v>53</v>
      </c>
      <c r="R501" t="s">
        <v>1094</v>
      </c>
      <c r="S501" t="s">
        <v>1115</v>
      </c>
      <c r="T501" t="s">
        <v>1000</v>
      </c>
      <c r="U501" t="s">
        <v>226</v>
      </c>
      <c r="V501" t="s">
        <v>43</v>
      </c>
      <c r="W501" t="s">
        <v>43</v>
      </c>
      <c r="X501" t="s">
        <v>984</v>
      </c>
      <c r="Y501" s="4" t="s">
        <v>1250</v>
      </c>
      <c r="Z501" t="s">
        <v>45</v>
      </c>
      <c r="AA501" t="s">
        <v>275</v>
      </c>
      <c r="AB501" t="s">
        <v>43</v>
      </c>
      <c r="AC501" t="s">
        <v>43</v>
      </c>
      <c r="AD501" t="s">
        <v>43</v>
      </c>
      <c r="AE501" t="s">
        <v>43</v>
      </c>
      <c r="AF501" t="str">
        <f>AA501</f>
        <v>Auenstein Rasen 1 (Sportpark am Tiefenbach), Ochsenweg 1, 74360 Ilsfeld-Auenstein</v>
      </c>
      <c r="AG501" t="str">
        <f>TRIM(MID(AF501, FIND(", ", AF501)+2, FIND(", ", AF501, FIND(", ", AF501)+1) - FIND(", ", AF501) - 2))</f>
        <v>Ochsenweg 1</v>
      </c>
      <c r="AH501" t="str">
        <f>_xlfn.TEXTBEFORE(_xlfn.TEXTAFTER(AF501, ", ", 2), " ")</f>
        <v>74360</v>
      </c>
      <c r="AI501" t="str">
        <f>_xlfn.TEXTAFTER(_xlfn.TEXTAFTER(AF501, ", ", 2), " ")</f>
        <v>Ilsfeld-Auenstein</v>
      </c>
    </row>
    <row r="502" spans="1:35" x14ac:dyDescent="0.2">
      <c r="A502" t="str">
        <f>B502&amp;C502&amp;H502&amp;N502</f>
        <v>35000110TGV Eintracht BeilsteinE-Junioren3</v>
      </c>
      <c r="B502" t="s">
        <v>397</v>
      </c>
      <c r="C502" t="s">
        <v>398</v>
      </c>
      <c r="D502" t="s">
        <v>34</v>
      </c>
      <c r="E502" t="s">
        <v>35</v>
      </c>
      <c r="F502" t="s">
        <v>36</v>
      </c>
      <c r="G502">
        <v>3</v>
      </c>
      <c r="H502" t="s">
        <v>1112</v>
      </c>
      <c r="I502" t="s">
        <v>114</v>
      </c>
      <c r="J502" t="s">
        <v>1113</v>
      </c>
      <c r="K502" t="s">
        <v>1242</v>
      </c>
      <c r="L502" t="s">
        <v>1405</v>
      </c>
      <c r="M502">
        <v>2</v>
      </c>
      <c r="N502">
        <v>3</v>
      </c>
      <c r="O502" t="s">
        <v>1251</v>
      </c>
      <c r="P502" t="s">
        <v>40</v>
      </c>
      <c r="Q502" t="s">
        <v>53</v>
      </c>
      <c r="R502" t="s">
        <v>1094</v>
      </c>
      <c r="S502" t="s">
        <v>1115</v>
      </c>
      <c r="T502" t="s">
        <v>837</v>
      </c>
      <c r="U502" t="s">
        <v>226</v>
      </c>
      <c r="V502" t="s">
        <v>43</v>
      </c>
      <c r="W502" t="s">
        <v>43</v>
      </c>
      <c r="Y502" s="4" t="s">
        <v>1252</v>
      </c>
      <c r="Z502" t="s">
        <v>45</v>
      </c>
      <c r="AA502" t="s">
        <v>947</v>
      </c>
      <c r="AB502" t="s">
        <v>43</v>
      </c>
      <c r="AC502" t="s">
        <v>43</v>
      </c>
      <c r="AD502" t="s">
        <v>43</v>
      </c>
      <c r="AE502" t="s">
        <v>43</v>
      </c>
      <c r="AF502" t="str">
        <f>AA502</f>
        <v>Beilstein Kunstrasen, Albert-Einstein-Str. 20, 71717 Beilstein-Zentrum</v>
      </c>
      <c r="AG502" t="str">
        <f>TRIM(MID(AF502, FIND(", ", AF502)+2, FIND(", ", AF502, FIND(", ", AF502)+1) - FIND(", ", AF502) - 2))</f>
        <v>Albert-Einstein-Str. 20</v>
      </c>
      <c r="AH502" t="str">
        <f>_xlfn.TEXTBEFORE(_xlfn.TEXTAFTER(AF502, ", ", 2), " ")</f>
        <v>71717</v>
      </c>
      <c r="AI502" t="str">
        <f>_xlfn.TEXTAFTER(_xlfn.TEXTAFTER(AF502, ", ", 2), " ")</f>
        <v>Beilstein-Zentrum</v>
      </c>
    </row>
    <row r="503" spans="1:35" x14ac:dyDescent="0.2">
      <c r="A503" t="str">
        <f>B503&amp;C503&amp;H503&amp;N503</f>
        <v>35000236TSV CleebronnE-Junioren4</v>
      </c>
      <c r="B503" t="s">
        <v>123</v>
      </c>
      <c r="C503" t="s">
        <v>124</v>
      </c>
      <c r="D503" t="s">
        <v>34</v>
      </c>
      <c r="E503" t="s">
        <v>35</v>
      </c>
      <c r="F503" t="s">
        <v>36</v>
      </c>
      <c r="G503">
        <v>3</v>
      </c>
      <c r="H503" t="s">
        <v>1112</v>
      </c>
      <c r="I503" t="s">
        <v>114</v>
      </c>
      <c r="J503" t="s">
        <v>1113</v>
      </c>
      <c r="K503" t="s">
        <v>1242</v>
      </c>
      <c r="L503" t="s">
        <v>1405</v>
      </c>
      <c r="M503">
        <v>3</v>
      </c>
      <c r="N503">
        <v>4</v>
      </c>
      <c r="O503" t="s">
        <v>1247</v>
      </c>
      <c r="P503" t="s">
        <v>40</v>
      </c>
      <c r="Q503" t="s">
        <v>40</v>
      </c>
      <c r="R503" t="s">
        <v>1094</v>
      </c>
      <c r="S503" t="s">
        <v>1115</v>
      </c>
      <c r="T503" t="s">
        <v>837</v>
      </c>
      <c r="U503" t="s">
        <v>226</v>
      </c>
      <c r="V503" t="s">
        <v>43</v>
      </c>
      <c r="W503" t="s">
        <v>43</v>
      </c>
      <c r="Y503" t="s">
        <v>992</v>
      </c>
      <c r="Z503" t="s">
        <v>45</v>
      </c>
      <c r="AA503" t="s">
        <v>126</v>
      </c>
      <c r="AB503" t="s">
        <v>43</v>
      </c>
      <c r="AC503" t="s">
        <v>43</v>
      </c>
      <c r="AD503" t="s">
        <v>43</v>
      </c>
      <c r="AE503" t="s">
        <v>43</v>
      </c>
      <c r="AF503" t="str">
        <f>AA503</f>
        <v>Cleebronn Rasen 1, Schützenstr., 74389 Cleebronn-Zentrum</v>
      </c>
      <c r="AG503" t="str">
        <f>TRIM(MID(AF503, FIND(", ", AF503)+2, FIND(", ", AF503, FIND(", ", AF503)+1) - FIND(", ", AF503) - 2))</f>
        <v>Schützenstr.</v>
      </c>
      <c r="AH503" t="str">
        <f>_xlfn.TEXTBEFORE(_xlfn.TEXTAFTER(AF503, ", ", 2), " ")</f>
        <v>74389</v>
      </c>
      <c r="AI503" t="str">
        <f>_xlfn.TEXTAFTER(_xlfn.TEXTAFTER(AF503, ", ", 2), " ")</f>
        <v>Cleebronn-Zentrum</v>
      </c>
    </row>
    <row r="504" spans="1:35" x14ac:dyDescent="0.2">
      <c r="A504" t="str">
        <f>B504&amp;C504&amp;H504&amp;N504</f>
        <v>35000667SC IlsfeldE-Junioren2</v>
      </c>
      <c r="B504" t="s">
        <v>634</v>
      </c>
      <c r="C504" t="s">
        <v>635</v>
      </c>
      <c r="D504" t="s">
        <v>34</v>
      </c>
      <c r="E504" t="s">
        <v>35</v>
      </c>
      <c r="F504" t="s">
        <v>36</v>
      </c>
      <c r="G504">
        <v>3</v>
      </c>
      <c r="H504" t="s">
        <v>1112</v>
      </c>
      <c r="I504" t="s">
        <v>114</v>
      </c>
      <c r="J504" t="s">
        <v>1113</v>
      </c>
      <c r="K504" t="s">
        <v>1242</v>
      </c>
      <c r="L504" t="s">
        <v>1405</v>
      </c>
      <c r="M504">
        <v>7</v>
      </c>
      <c r="N504">
        <v>2</v>
      </c>
      <c r="O504" t="s">
        <v>1245</v>
      </c>
      <c r="P504" t="s">
        <v>40</v>
      </c>
      <c r="Q504" t="s">
        <v>53</v>
      </c>
      <c r="R504" t="s">
        <v>1094</v>
      </c>
      <c r="S504" t="s">
        <v>1115</v>
      </c>
      <c r="T504" t="s">
        <v>837</v>
      </c>
      <c r="U504" t="s">
        <v>226</v>
      </c>
      <c r="V504" t="s">
        <v>43</v>
      </c>
      <c r="W504" t="s">
        <v>43</v>
      </c>
      <c r="X504" t="s">
        <v>1118</v>
      </c>
      <c r="Y504" s="4" t="s">
        <v>1246</v>
      </c>
      <c r="Z504" t="s">
        <v>45</v>
      </c>
      <c r="AA504" t="s">
        <v>855</v>
      </c>
      <c r="AB504" t="s">
        <v>43</v>
      </c>
      <c r="AC504" t="s">
        <v>43</v>
      </c>
      <c r="AD504" t="s">
        <v>43</v>
      </c>
      <c r="AE504" t="s">
        <v>43</v>
      </c>
      <c r="AF504" t="str">
        <f>AA504</f>
        <v>Ilsfeld Rasen 1, Brückenstr. 28, 74360 Ilsfeld</v>
      </c>
      <c r="AG504" t="str">
        <f>TRIM(MID(AF504, FIND(", ", AF504)+2, FIND(", ", AF504, FIND(", ", AF504)+1) - FIND(", ", AF504) - 2))</f>
        <v>Brückenstr. 28</v>
      </c>
      <c r="AH504" t="str">
        <f>_xlfn.TEXTBEFORE(_xlfn.TEXTAFTER(AF504, ", ", 2), " ")</f>
        <v>74360</v>
      </c>
      <c r="AI504" t="str">
        <f>_xlfn.TEXTAFTER(_xlfn.TEXTAFTER(AF504, ", ", 2), " ")</f>
        <v>Ilsfeld</v>
      </c>
    </row>
    <row r="505" spans="1:35" x14ac:dyDescent="0.2">
      <c r="A505" t="str">
        <f>B505&amp;C505&amp;H505&amp;N505</f>
        <v>35001627NK Croatia HeilbronnE-Junioren1</v>
      </c>
      <c r="B505" t="s">
        <v>1240</v>
      </c>
      <c r="C505" t="s">
        <v>1241</v>
      </c>
      <c r="D505" t="s">
        <v>34</v>
      </c>
      <c r="E505" t="s">
        <v>35</v>
      </c>
      <c r="F505" t="s">
        <v>36</v>
      </c>
      <c r="G505">
        <v>3</v>
      </c>
      <c r="H505" t="s">
        <v>1112</v>
      </c>
      <c r="I505" t="s">
        <v>114</v>
      </c>
      <c r="J505" t="s">
        <v>1113</v>
      </c>
      <c r="K505" t="s">
        <v>1242</v>
      </c>
      <c r="L505" t="s">
        <v>1405</v>
      </c>
      <c r="M505">
        <v>4</v>
      </c>
      <c r="N505">
        <v>1</v>
      </c>
      <c r="O505" t="s">
        <v>1241</v>
      </c>
      <c r="P505" t="s">
        <v>40</v>
      </c>
      <c r="Q505" t="s">
        <v>40</v>
      </c>
      <c r="R505" t="s">
        <v>1094</v>
      </c>
      <c r="S505" t="s">
        <v>1115</v>
      </c>
      <c r="T505" t="s">
        <v>837</v>
      </c>
      <c r="U505" t="s">
        <v>226</v>
      </c>
      <c r="V505" t="s">
        <v>43</v>
      </c>
      <c r="W505" t="s">
        <v>43</v>
      </c>
      <c r="Y505" t="s">
        <v>1243</v>
      </c>
      <c r="Z505" t="s">
        <v>45</v>
      </c>
      <c r="AA505" t="s">
        <v>1244</v>
      </c>
      <c r="AB505" t="s">
        <v>43</v>
      </c>
      <c r="AC505" t="s">
        <v>43</v>
      </c>
      <c r="AD505" t="s">
        <v>43</v>
      </c>
      <c r="AE505" t="s">
        <v>43</v>
      </c>
      <c r="AF505" t="str">
        <f>AA505</f>
        <v>Sontheim Rasen, Horkheimer Str., 74081 Heilbronn-Sontheim</v>
      </c>
      <c r="AG505" t="str">
        <f>TRIM(MID(AF505, FIND(", ", AF505)+2, FIND(", ", AF505, FIND(", ", AF505)+1) - FIND(", ", AF505) - 2))</f>
        <v>Horkheimer Str.</v>
      </c>
      <c r="AH505" t="str">
        <f>_xlfn.TEXTBEFORE(_xlfn.TEXTAFTER(AF505, ", ", 2), " ")</f>
        <v>74081</v>
      </c>
      <c r="AI505" t="str">
        <f>_xlfn.TEXTAFTER(_xlfn.TEXTAFTER(AF505, ", ", 2), " ")</f>
        <v>Heilbronn-Sontheim</v>
      </c>
    </row>
    <row r="506" spans="1:35" x14ac:dyDescent="0.2">
      <c r="A506" t="str">
        <f>B506&amp;C506&amp;H506&amp;N506</f>
        <v>35002168TSG HeilbronnE-Junioren3</v>
      </c>
      <c r="B506" t="s">
        <v>349</v>
      </c>
      <c r="C506" t="s">
        <v>350</v>
      </c>
      <c r="D506" t="s">
        <v>34</v>
      </c>
      <c r="E506" t="s">
        <v>35</v>
      </c>
      <c r="F506" t="s">
        <v>36</v>
      </c>
      <c r="G506">
        <v>3</v>
      </c>
      <c r="H506" t="s">
        <v>1112</v>
      </c>
      <c r="I506" t="s">
        <v>114</v>
      </c>
      <c r="J506" t="s">
        <v>1113</v>
      </c>
      <c r="K506" t="s">
        <v>1242</v>
      </c>
      <c r="L506" t="s">
        <v>1405</v>
      </c>
      <c r="M506">
        <v>5</v>
      </c>
      <c r="N506">
        <v>3</v>
      </c>
      <c r="O506" t="s">
        <v>1032</v>
      </c>
      <c r="P506" t="s">
        <v>40</v>
      </c>
      <c r="Q506" t="s">
        <v>53</v>
      </c>
      <c r="R506" t="s">
        <v>1094</v>
      </c>
      <c r="S506" t="s">
        <v>910</v>
      </c>
      <c r="T506" t="s">
        <v>974</v>
      </c>
      <c r="U506" t="s">
        <v>226</v>
      </c>
      <c r="V506" t="s">
        <v>43</v>
      </c>
      <c r="W506" t="s">
        <v>43</v>
      </c>
      <c r="X506" t="s">
        <v>1253</v>
      </c>
      <c r="Y506" s="4" t="s">
        <v>1129</v>
      </c>
      <c r="Z506" t="s">
        <v>45</v>
      </c>
      <c r="AA506" t="s">
        <v>351</v>
      </c>
      <c r="AB506" t="s">
        <v>43</v>
      </c>
      <c r="AC506" t="s">
        <v>43</v>
      </c>
      <c r="AD506" t="s">
        <v>43</v>
      </c>
      <c r="AE506" t="s">
        <v>43</v>
      </c>
      <c r="AF506" t="str">
        <f>AA506</f>
        <v>Wertwiesen (TSG) Rasen 1, Wertwiesen 8, 74081 Heilbronn-Sontheim</v>
      </c>
      <c r="AG506" t="str">
        <f>TRIM(MID(AF506, FIND(", ", AF506)+2, FIND(", ", AF506, FIND(", ", AF506)+1) - FIND(", ", AF506) - 2))</f>
        <v>Wertwiesen 8</v>
      </c>
      <c r="AH506" t="str">
        <f>_xlfn.TEXTBEFORE(_xlfn.TEXTAFTER(AF506, ", ", 2), " ")</f>
        <v>74081</v>
      </c>
      <c r="AI506" t="str">
        <f>_xlfn.TEXTAFTER(_xlfn.TEXTAFTER(AF506, ", ", 2), " ")</f>
        <v>Heilbronn-Sontheim</v>
      </c>
    </row>
    <row r="507" spans="1:35" x14ac:dyDescent="0.2">
      <c r="A507" t="str">
        <f>B507&amp;C507&amp;H507&amp;N507</f>
        <v>35000147TSV BiberachE-Junioren2</v>
      </c>
      <c r="B507" t="s">
        <v>1035</v>
      </c>
      <c r="C507" t="s">
        <v>1036</v>
      </c>
      <c r="D507" t="s">
        <v>34</v>
      </c>
      <c r="E507" t="s">
        <v>35</v>
      </c>
      <c r="F507" t="s">
        <v>36</v>
      </c>
      <c r="G507">
        <v>3</v>
      </c>
      <c r="H507" t="s">
        <v>1112</v>
      </c>
      <c r="I507" t="s">
        <v>114</v>
      </c>
      <c r="J507" t="s">
        <v>1113</v>
      </c>
      <c r="K507" t="s">
        <v>1254</v>
      </c>
      <c r="L507" t="s">
        <v>1406</v>
      </c>
      <c r="M507">
        <v>5</v>
      </c>
      <c r="N507">
        <v>2</v>
      </c>
      <c r="O507" t="s">
        <v>1259</v>
      </c>
      <c r="P507" t="s">
        <v>40</v>
      </c>
      <c r="Q507" t="s">
        <v>40</v>
      </c>
      <c r="R507" t="s">
        <v>1094</v>
      </c>
      <c r="S507" t="s">
        <v>1115</v>
      </c>
      <c r="T507" t="s">
        <v>1000</v>
      </c>
      <c r="U507" t="s">
        <v>226</v>
      </c>
      <c r="V507" t="s">
        <v>43</v>
      </c>
      <c r="W507" t="s">
        <v>43</v>
      </c>
      <c r="Y507" t="s">
        <v>43</v>
      </c>
      <c r="Z507" t="s">
        <v>45</v>
      </c>
      <c r="AA507" t="s">
        <v>1038</v>
      </c>
      <c r="AB507" t="s">
        <v>43</v>
      </c>
      <c r="AC507" t="s">
        <v>43</v>
      </c>
      <c r="AD507" t="s">
        <v>43</v>
      </c>
      <c r="AE507" t="s">
        <v>43</v>
      </c>
      <c r="AF507" t="str">
        <f>AA507</f>
        <v>Biberach Rasen 1 (Stadion), Bibersteige 19, 74078 Heilbronn-Biberach</v>
      </c>
      <c r="AG507" t="str">
        <f>TRIM(MID(AF507, FIND(", ", AF507)+2, FIND(", ", AF507, FIND(", ", AF507)+1) - FIND(", ", AF507) - 2))</f>
        <v>Bibersteige 19</v>
      </c>
      <c r="AH507" t="str">
        <f>_xlfn.TEXTBEFORE(_xlfn.TEXTAFTER(AF507, ", ", 2), " ")</f>
        <v>74078</v>
      </c>
      <c r="AI507" t="str">
        <f>_xlfn.TEXTAFTER(_xlfn.TEXTAFTER(AF507, ", ", 2), " ")</f>
        <v>Heilbronn-Biberach</v>
      </c>
    </row>
    <row r="508" spans="1:35" x14ac:dyDescent="0.2">
      <c r="A508" t="str">
        <f>B508&amp;C508&amp;H508&amp;N508</f>
        <v>35000187TG BöckingenE-Junioren4</v>
      </c>
      <c r="B508" t="s">
        <v>229</v>
      </c>
      <c r="C508" t="s">
        <v>230</v>
      </c>
      <c r="D508" t="s">
        <v>34</v>
      </c>
      <c r="E508" t="s">
        <v>35</v>
      </c>
      <c r="F508" t="s">
        <v>36</v>
      </c>
      <c r="G508">
        <v>3</v>
      </c>
      <c r="H508" t="s">
        <v>1112</v>
      </c>
      <c r="I508" t="s">
        <v>114</v>
      </c>
      <c r="J508" t="s">
        <v>1113</v>
      </c>
      <c r="K508" t="s">
        <v>1254</v>
      </c>
      <c r="L508" t="s">
        <v>1406</v>
      </c>
      <c r="M508">
        <v>3</v>
      </c>
      <c r="N508">
        <v>4</v>
      </c>
      <c r="O508" t="s">
        <v>1258</v>
      </c>
      <c r="P508" t="s">
        <v>40</v>
      </c>
      <c r="Q508" t="s">
        <v>53</v>
      </c>
      <c r="R508" t="s">
        <v>1094</v>
      </c>
      <c r="S508" t="s">
        <v>1115</v>
      </c>
      <c r="T508" t="s">
        <v>837</v>
      </c>
      <c r="U508" t="s">
        <v>226</v>
      </c>
      <c r="V508" t="s">
        <v>43</v>
      </c>
      <c r="W508" t="s">
        <v>43</v>
      </c>
      <c r="Y508" t="s">
        <v>43</v>
      </c>
      <c r="Z508" t="s">
        <v>45</v>
      </c>
      <c r="AA508" t="s">
        <v>231</v>
      </c>
      <c r="AB508" t="s">
        <v>43</v>
      </c>
      <c r="AC508" t="s">
        <v>43</v>
      </c>
      <c r="AD508" t="s">
        <v>43</v>
      </c>
      <c r="AE508" t="s">
        <v>43</v>
      </c>
      <c r="AF508" t="str">
        <f>AA508</f>
        <v>Böckingen (TG) Viehweide Kunstrasen, Viehweide 20, 74080 Heilbronn-Böckingen</v>
      </c>
      <c r="AG508" t="str">
        <f>TRIM(MID(AF508, FIND(", ", AF508)+2, FIND(", ", AF508, FIND(", ", AF508)+1) - FIND(", ", AF508) - 2))</f>
        <v>Viehweide 20</v>
      </c>
      <c r="AH508" t="str">
        <f>_xlfn.TEXTBEFORE(_xlfn.TEXTAFTER(AF508, ", ", 2), " ")</f>
        <v>74080</v>
      </c>
      <c r="AI508" t="str">
        <f>_xlfn.TEXTAFTER(_xlfn.TEXTAFTER(AF508, ", ", 2), " ")</f>
        <v>Heilbronn-Böckingen</v>
      </c>
    </row>
    <row r="509" spans="1:35" x14ac:dyDescent="0.2">
      <c r="A509" t="str">
        <f>B509&amp;C509&amp;H509&amp;N509</f>
        <v>35000236TSV CleebronnE-Junioren3</v>
      </c>
      <c r="B509" t="s">
        <v>123</v>
      </c>
      <c r="C509" t="s">
        <v>124</v>
      </c>
      <c r="D509" t="s">
        <v>34</v>
      </c>
      <c r="E509" t="s">
        <v>35</v>
      </c>
      <c r="F509" t="s">
        <v>36</v>
      </c>
      <c r="G509">
        <v>3</v>
      </c>
      <c r="H509" t="s">
        <v>1112</v>
      </c>
      <c r="I509" t="s">
        <v>114</v>
      </c>
      <c r="J509" t="s">
        <v>1113</v>
      </c>
      <c r="K509" t="s">
        <v>1254</v>
      </c>
      <c r="L509" t="s">
        <v>1406</v>
      </c>
      <c r="M509">
        <v>6</v>
      </c>
      <c r="N509">
        <v>3</v>
      </c>
      <c r="O509" t="s">
        <v>1256</v>
      </c>
      <c r="P509" t="s">
        <v>40</v>
      </c>
      <c r="Q509" t="s">
        <v>40</v>
      </c>
      <c r="R509" t="s">
        <v>1094</v>
      </c>
      <c r="S509" t="s">
        <v>1115</v>
      </c>
      <c r="T509" t="s">
        <v>837</v>
      </c>
      <c r="U509" t="s">
        <v>226</v>
      </c>
      <c r="V509" t="s">
        <v>43</v>
      </c>
      <c r="W509" t="s">
        <v>43</v>
      </c>
      <c r="Y509" t="s">
        <v>992</v>
      </c>
      <c r="Z509" t="s">
        <v>45</v>
      </c>
      <c r="AA509" t="s">
        <v>1043</v>
      </c>
      <c r="AB509" t="s">
        <v>43</v>
      </c>
      <c r="AC509" t="s">
        <v>43</v>
      </c>
      <c r="AD509" t="s">
        <v>43</v>
      </c>
      <c r="AE509" t="s">
        <v>43</v>
      </c>
      <c r="AF509" t="str">
        <f>AA509</f>
        <v>Stockheim Rasen, Schulstr., 74336 Brackenheim-Stockheim</v>
      </c>
      <c r="AG509" t="str">
        <f>TRIM(MID(AF509, FIND(", ", AF509)+2, FIND(", ", AF509, FIND(", ", AF509)+1) - FIND(", ", AF509) - 2))</f>
        <v>Schulstr.</v>
      </c>
      <c r="AH509" t="str">
        <f>_xlfn.TEXTBEFORE(_xlfn.TEXTAFTER(AF509, ", ", 2), " ")</f>
        <v>74336</v>
      </c>
      <c r="AI509" t="str">
        <f>_xlfn.TEXTAFTER(_xlfn.TEXTAFTER(AF509, ", ", 2), " ")</f>
        <v>Brackenheim-Stockheim</v>
      </c>
    </row>
    <row r="510" spans="1:35" x14ac:dyDescent="0.2">
      <c r="A510" t="str">
        <f>B510&amp;C510&amp;H510&amp;N510</f>
        <v>35000411Sportverein Heilbronn am Leinbach 1891E-Junioren3</v>
      </c>
      <c r="B510" t="s">
        <v>223</v>
      </c>
      <c r="C510" t="s">
        <v>224</v>
      </c>
      <c r="D510" t="s">
        <v>34</v>
      </c>
      <c r="E510" t="s">
        <v>35</v>
      </c>
      <c r="F510" t="s">
        <v>36</v>
      </c>
      <c r="G510">
        <v>3</v>
      </c>
      <c r="H510" t="s">
        <v>1112</v>
      </c>
      <c r="I510" t="s">
        <v>114</v>
      </c>
      <c r="J510" t="s">
        <v>1113</v>
      </c>
      <c r="K510" t="s">
        <v>1254</v>
      </c>
      <c r="L510" t="s">
        <v>1406</v>
      </c>
      <c r="M510">
        <v>7</v>
      </c>
      <c r="N510">
        <v>3</v>
      </c>
      <c r="O510" t="s">
        <v>707</v>
      </c>
      <c r="P510" t="s">
        <v>40</v>
      </c>
      <c r="Q510" t="s">
        <v>40</v>
      </c>
      <c r="R510" t="s">
        <v>1094</v>
      </c>
      <c r="S510" t="s">
        <v>1115</v>
      </c>
      <c r="T510" t="s">
        <v>974</v>
      </c>
      <c r="U510" t="s">
        <v>226</v>
      </c>
      <c r="V510" t="s">
        <v>43</v>
      </c>
      <c r="W510" t="s">
        <v>43</v>
      </c>
      <c r="Y510" t="s">
        <v>43</v>
      </c>
      <c r="Z510" t="s">
        <v>45</v>
      </c>
      <c r="AA510" t="s">
        <v>228</v>
      </c>
      <c r="AB510" t="s">
        <v>43</v>
      </c>
      <c r="AC510" t="s">
        <v>43</v>
      </c>
      <c r="AD510" t="s">
        <v>43</v>
      </c>
      <c r="AE510" t="s">
        <v>43</v>
      </c>
      <c r="AF510" t="str">
        <f>AA510</f>
        <v>Frankenbach Rasen, Riedweg 52, 74078 Heilbronn-Frankenbach</v>
      </c>
      <c r="AG510" t="str">
        <f>TRIM(MID(AF510, FIND(", ", AF510)+2, FIND(", ", AF510, FIND(", ", AF510)+1) - FIND(", ", AF510) - 2))</f>
        <v>Riedweg 52</v>
      </c>
      <c r="AH510" t="str">
        <f>_xlfn.TEXTBEFORE(_xlfn.TEXTAFTER(AF510, ", ", 2), " ")</f>
        <v>74078</v>
      </c>
      <c r="AI510" t="str">
        <f>_xlfn.TEXTAFTER(_xlfn.TEXTAFTER(AF510, ", ", 2), " ")</f>
        <v>Heilbronn-Frankenbach</v>
      </c>
    </row>
    <row r="511" spans="1:35" x14ac:dyDescent="0.2">
      <c r="A511" t="str">
        <f>B511&amp;C511&amp;H511&amp;N511</f>
        <v>35000565ASV HeilbronnE-Junioren3</v>
      </c>
      <c r="B511" t="s">
        <v>895</v>
      </c>
      <c r="C511" t="s">
        <v>896</v>
      </c>
      <c r="D511" t="s">
        <v>34</v>
      </c>
      <c r="E511" t="s">
        <v>35</v>
      </c>
      <c r="F511" t="s">
        <v>36</v>
      </c>
      <c r="G511">
        <v>3</v>
      </c>
      <c r="H511" t="s">
        <v>1112</v>
      </c>
      <c r="I511" t="s">
        <v>114</v>
      </c>
      <c r="J511" t="s">
        <v>1113</v>
      </c>
      <c r="K511" t="s">
        <v>1254</v>
      </c>
      <c r="L511" t="s">
        <v>1406</v>
      </c>
      <c r="M511">
        <v>4</v>
      </c>
      <c r="N511">
        <v>3</v>
      </c>
      <c r="O511" t="s">
        <v>1255</v>
      </c>
      <c r="P511" t="s">
        <v>40</v>
      </c>
      <c r="Q511" t="s">
        <v>53</v>
      </c>
      <c r="R511" t="s">
        <v>1094</v>
      </c>
      <c r="S511" t="s">
        <v>1115</v>
      </c>
      <c r="T511" t="s">
        <v>974</v>
      </c>
      <c r="U511" t="s">
        <v>42</v>
      </c>
      <c r="V511" t="s">
        <v>43</v>
      </c>
      <c r="W511" t="s">
        <v>43</v>
      </c>
      <c r="X511" t="s">
        <v>900</v>
      </c>
      <c r="Y511" s="4" t="s">
        <v>901</v>
      </c>
      <c r="Z511" t="s">
        <v>45</v>
      </c>
      <c r="AA511" t="s">
        <v>902</v>
      </c>
      <c r="AB511" t="s">
        <v>43</v>
      </c>
      <c r="AC511" t="s">
        <v>43</v>
      </c>
      <c r="AD511" t="s">
        <v>43</v>
      </c>
      <c r="AE511" t="s">
        <v>43</v>
      </c>
      <c r="AF511" t="str">
        <f>AA511</f>
        <v>Wertwiesen (ASV) Rasen, Wertwiesen 6, 74081 Heilbronn-Sontheim</v>
      </c>
      <c r="AG511" t="str">
        <f>TRIM(MID(AF511, FIND(", ", AF511)+2, FIND(", ", AF511, FIND(", ", AF511)+1) - FIND(", ", AF511) - 2))</f>
        <v>Wertwiesen 6</v>
      </c>
      <c r="AH511" t="str">
        <f>_xlfn.TEXTBEFORE(_xlfn.TEXTAFTER(AF511, ", ", 2), " ")</f>
        <v>74081</v>
      </c>
      <c r="AI511" t="str">
        <f>_xlfn.TEXTAFTER(_xlfn.TEXTAFTER(AF511, ", ", 2), " ")</f>
        <v>Heilbronn-Sontheim</v>
      </c>
    </row>
    <row r="512" spans="1:35" x14ac:dyDescent="0.2">
      <c r="A512" t="str">
        <f>B512&amp;C512&amp;H512&amp;N512</f>
        <v>35000777SV LeingartenE-Junioren2</v>
      </c>
      <c r="B512" t="s">
        <v>158</v>
      </c>
      <c r="C512" t="s">
        <v>159</v>
      </c>
      <c r="D512" t="s">
        <v>34</v>
      </c>
      <c r="E512" t="s">
        <v>35</v>
      </c>
      <c r="F512" t="s">
        <v>36</v>
      </c>
      <c r="G512">
        <v>3</v>
      </c>
      <c r="H512" t="s">
        <v>1112</v>
      </c>
      <c r="I512" t="s">
        <v>114</v>
      </c>
      <c r="J512" t="s">
        <v>1113</v>
      </c>
      <c r="K512" t="s">
        <v>1254</v>
      </c>
      <c r="L512" t="s">
        <v>1406</v>
      </c>
      <c r="M512">
        <v>8</v>
      </c>
      <c r="N512">
        <v>2</v>
      </c>
      <c r="O512" t="s">
        <v>988</v>
      </c>
      <c r="P512" t="s">
        <v>40</v>
      </c>
      <c r="Q512" t="s">
        <v>40</v>
      </c>
      <c r="R512" t="s">
        <v>1094</v>
      </c>
      <c r="S512" t="s">
        <v>1115</v>
      </c>
      <c r="T512" t="s">
        <v>837</v>
      </c>
      <c r="U512" t="s">
        <v>226</v>
      </c>
      <c r="V512" t="s">
        <v>43</v>
      </c>
      <c r="W512" t="s">
        <v>43</v>
      </c>
      <c r="Y512" t="s">
        <v>1106</v>
      </c>
      <c r="Z512" t="s">
        <v>45</v>
      </c>
      <c r="AA512" t="s">
        <v>63</v>
      </c>
      <c r="AB512" t="s">
        <v>43</v>
      </c>
      <c r="AC512" t="s">
        <v>43</v>
      </c>
      <c r="AD512" t="s">
        <v>43</v>
      </c>
      <c r="AE512" t="s">
        <v>43</v>
      </c>
      <c r="AF512" t="str">
        <f>AA512</f>
        <v>Leingarten Kunstrasen, Egarten, 74211 Leingarten-Großgartach</v>
      </c>
      <c r="AG512" t="str">
        <f>TRIM(MID(AF512, FIND(", ", AF512)+2, FIND(", ", AF512, FIND(", ", AF512)+1) - FIND(", ", AF512) - 2))</f>
        <v>Egarten</v>
      </c>
      <c r="AH512" t="str">
        <f>_xlfn.TEXTBEFORE(_xlfn.TEXTAFTER(AF512, ", ", 2), " ")</f>
        <v>74211</v>
      </c>
      <c r="AI512" t="str">
        <f>_xlfn.TEXTAFTER(_xlfn.TEXTAFTER(AF512, ", ", 2), " ")</f>
        <v>Leingarten-Großgartach</v>
      </c>
    </row>
    <row r="513" spans="1:35" x14ac:dyDescent="0.2">
      <c r="A513" t="str">
        <f>B513&amp;C513&amp;H513&amp;N513</f>
        <v>35000837SV MassenbachhausenE-Junioren2</v>
      </c>
      <c r="B513" t="s">
        <v>723</v>
      </c>
      <c r="C513" t="s">
        <v>724</v>
      </c>
      <c r="D513" t="s">
        <v>34</v>
      </c>
      <c r="E513" t="s">
        <v>35</v>
      </c>
      <c r="F513" t="s">
        <v>36</v>
      </c>
      <c r="G513">
        <v>3</v>
      </c>
      <c r="H513" t="s">
        <v>1112</v>
      </c>
      <c r="I513" t="s">
        <v>114</v>
      </c>
      <c r="J513" t="s">
        <v>1113</v>
      </c>
      <c r="K513" t="s">
        <v>1254</v>
      </c>
      <c r="L513" t="s">
        <v>1406</v>
      </c>
      <c r="M513">
        <v>2</v>
      </c>
      <c r="N513">
        <v>2</v>
      </c>
      <c r="O513" t="s">
        <v>1024</v>
      </c>
      <c r="P513" t="s">
        <v>40</v>
      </c>
      <c r="Q513" t="s">
        <v>53</v>
      </c>
      <c r="R513" t="s">
        <v>1094</v>
      </c>
      <c r="S513" t="s">
        <v>1115</v>
      </c>
      <c r="T513" t="s">
        <v>1000</v>
      </c>
      <c r="U513" t="s">
        <v>226</v>
      </c>
      <c r="V513" t="s">
        <v>43</v>
      </c>
      <c r="W513" t="s">
        <v>43</v>
      </c>
      <c r="X513" t="s">
        <v>1118</v>
      </c>
      <c r="Y513" s="4" t="s">
        <v>1257</v>
      </c>
      <c r="Z513" t="s">
        <v>45</v>
      </c>
      <c r="AA513" t="s">
        <v>1203</v>
      </c>
      <c r="AB513" t="s">
        <v>43</v>
      </c>
      <c r="AC513" t="s">
        <v>43</v>
      </c>
      <c r="AD513" t="s">
        <v>43</v>
      </c>
      <c r="AE513" t="s">
        <v>43</v>
      </c>
      <c r="AF513" t="str">
        <f>AA513</f>
        <v>Massenbachhausen Rasen 1, Heilbronner Str. 56, 74252 Massenbachhausen</v>
      </c>
      <c r="AG513" t="str">
        <f>TRIM(MID(AF513, FIND(", ", AF513)+2, FIND(", ", AF513, FIND(", ", AF513)+1) - FIND(", ", AF513) - 2))</f>
        <v>Heilbronner Str. 56</v>
      </c>
      <c r="AH513" t="str">
        <f>_xlfn.TEXTBEFORE(_xlfn.TEXTAFTER(AF513, ", ", 2), " ")</f>
        <v>74252</v>
      </c>
      <c r="AI513" t="str">
        <f>_xlfn.TEXTAFTER(_xlfn.TEXTAFTER(AF513, ", ", 2), " ")</f>
        <v>Massenbachhausen</v>
      </c>
    </row>
    <row r="514" spans="1:35" x14ac:dyDescent="0.2">
      <c r="A514" t="str">
        <f>B514&amp;C514&amp;H514&amp;N514</f>
        <v>35000201SV BonfeldE-Junioren2</v>
      </c>
      <c r="B514" t="s">
        <v>243</v>
      </c>
      <c r="C514" t="s">
        <v>244</v>
      </c>
      <c r="D514" t="s">
        <v>34</v>
      </c>
      <c r="E514" t="s">
        <v>35</v>
      </c>
      <c r="F514" t="s">
        <v>36</v>
      </c>
      <c r="G514">
        <v>3</v>
      </c>
      <c r="H514" t="s">
        <v>1112</v>
      </c>
      <c r="I514" t="s">
        <v>114</v>
      </c>
      <c r="J514" t="s">
        <v>1113</v>
      </c>
      <c r="K514" t="s">
        <v>1260</v>
      </c>
      <c r="L514" t="s">
        <v>1407</v>
      </c>
      <c r="M514">
        <v>8</v>
      </c>
      <c r="N514">
        <v>2</v>
      </c>
      <c r="O514" t="s">
        <v>1041</v>
      </c>
      <c r="P514" t="s">
        <v>40</v>
      </c>
      <c r="Q514" t="s">
        <v>53</v>
      </c>
      <c r="R514" t="s">
        <v>1094</v>
      </c>
      <c r="S514" t="s">
        <v>1115</v>
      </c>
      <c r="T514" t="s">
        <v>837</v>
      </c>
      <c r="U514" t="s">
        <v>226</v>
      </c>
      <c r="V514" t="s">
        <v>43</v>
      </c>
      <c r="W514" t="s">
        <v>43</v>
      </c>
      <c r="Y514" t="s">
        <v>1156</v>
      </c>
      <c r="Z514" t="s">
        <v>45</v>
      </c>
      <c r="AA514" t="s">
        <v>1157</v>
      </c>
      <c r="AB514" t="s">
        <v>43</v>
      </c>
      <c r="AC514" t="s">
        <v>43</v>
      </c>
      <c r="AD514" t="s">
        <v>43</v>
      </c>
      <c r="AE514" t="s">
        <v>43</v>
      </c>
      <c r="AF514" t="str">
        <f>AA514</f>
        <v>Fürfeld Kunstrasen (Kleinfeld), Frankenstr., 74906 Bad Rappenau-Fürfeld</v>
      </c>
      <c r="AG514" t="str">
        <f>TRIM(MID(AF514, FIND(", ", AF514)+2, FIND(", ", AF514, FIND(", ", AF514)+1) - FIND(", ", AF514) - 2))</f>
        <v>Frankenstr.</v>
      </c>
      <c r="AH514" t="str">
        <f>_xlfn.TEXTBEFORE(_xlfn.TEXTAFTER(AF514, ", ", 2), " ")</f>
        <v>74906</v>
      </c>
      <c r="AI514" t="str">
        <f>_xlfn.TEXTAFTER(_xlfn.TEXTAFTER(AF514, ", ", 2), " ")</f>
        <v>Bad Rappenau-Fürfeld</v>
      </c>
    </row>
    <row r="515" spans="1:35" x14ac:dyDescent="0.2">
      <c r="A515" t="str">
        <f>B515&amp;C515&amp;H515&amp;N515</f>
        <v>35000236TSV CleebronnE-Junioren2</v>
      </c>
      <c r="B515" t="s">
        <v>123</v>
      </c>
      <c r="C515" t="s">
        <v>124</v>
      </c>
      <c r="D515" t="s">
        <v>34</v>
      </c>
      <c r="E515" t="s">
        <v>35</v>
      </c>
      <c r="F515" t="s">
        <v>36</v>
      </c>
      <c r="G515">
        <v>3</v>
      </c>
      <c r="H515" t="s">
        <v>1112</v>
      </c>
      <c r="I515" t="s">
        <v>114</v>
      </c>
      <c r="J515" t="s">
        <v>1113</v>
      </c>
      <c r="K515" t="s">
        <v>1260</v>
      </c>
      <c r="L515" t="s">
        <v>1407</v>
      </c>
      <c r="M515">
        <v>4</v>
      </c>
      <c r="N515">
        <v>2</v>
      </c>
      <c r="O515" t="s">
        <v>1042</v>
      </c>
      <c r="P515" t="s">
        <v>40</v>
      </c>
      <c r="Q515" t="s">
        <v>40</v>
      </c>
      <c r="R515" t="s">
        <v>1094</v>
      </c>
      <c r="S515" t="s">
        <v>1115</v>
      </c>
      <c r="T515" t="s">
        <v>837</v>
      </c>
      <c r="U515" t="s">
        <v>226</v>
      </c>
      <c r="V515" t="s">
        <v>43</v>
      </c>
      <c r="W515" t="s">
        <v>43</v>
      </c>
      <c r="Y515" t="s">
        <v>992</v>
      </c>
      <c r="Z515" t="s">
        <v>45</v>
      </c>
      <c r="AA515" t="s">
        <v>713</v>
      </c>
      <c r="AB515" t="s">
        <v>43</v>
      </c>
      <c r="AC515" t="s">
        <v>43</v>
      </c>
      <c r="AD515" t="s">
        <v>43</v>
      </c>
      <c r="AE515" t="s">
        <v>43</v>
      </c>
      <c r="AF515" t="str">
        <f>AA515</f>
        <v>Cleebronn Rasen 2, Schützenstr., 74389 Cleebronn-Zentrum</v>
      </c>
      <c r="AG515" t="str">
        <f>TRIM(MID(AF515, FIND(", ", AF515)+2, FIND(", ", AF515, FIND(", ", AF515)+1) - FIND(", ", AF515) - 2))</f>
        <v>Schützenstr.</v>
      </c>
      <c r="AH515" t="str">
        <f>_xlfn.TEXTBEFORE(_xlfn.TEXTAFTER(AF515, ", ", 2), " ")</f>
        <v>74389</v>
      </c>
      <c r="AI515" t="str">
        <f>_xlfn.TEXTAFTER(_xlfn.TEXTAFTER(AF515, ", ", 2), " ")</f>
        <v>Cleebronn-Zentrum</v>
      </c>
    </row>
    <row r="516" spans="1:35" x14ac:dyDescent="0.2">
      <c r="A516" t="str">
        <f>B516&amp;C516&amp;H516&amp;N516</f>
        <v>35000515TSV GüglingenE-Junioren1</v>
      </c>
      <c r="B516" t="s">
        <v>715</v>
      </c>
      <c r="C516" t="s">
        <v>716</v>
      </c>
      <c r="D516" t="s">
        <v>34</v>
      </c>
      <c r="E516" t="s">
        <v>35</v>
      </c>
      <c r="F516" t="s">
        <v>36</v>
      </c>
      <c r="G516">
        <v>3</v>
      </c>
      <c r="H516" t="s">
        <v>1112</v>
      </c>
      <c r="I516" t="s">
        <v>114</v>
      </c>
      <c r="J516" t="s">
        <v>1113</v>
      </c>
      <c r="K516" t="s">
        <v>1260</v>
      </c>
      <c r="L516" t="s">
        <v>1407</v>
      </c>
      <c r="M516">
        <v>5</v>
      </c>
      <c r="N516">
        <v>1</v>
      </c>
      <c r="O516" t="s">
        <v>1265</v>
      </c>
      <c r="P516" t="s">
        <v>40</v>
      </c>
      <c r="Q516" t="s">
        <v>53</v>
      </c>
      <c r="R516" t="s">
        <v>1094</v>
      </c>
      <c r="S516" t="s">
        <v>1115</v>
      </c>
      <c r="T516" t="s">
        <v>974</v>
      </c>
      <c r="U516" t="s">
        <v>226</v>
      </c>
      <c r="V516" t="s">
        <v>43</v>
      </c>
      <c r="W516" t="s">
        <v>43</v>
      </c>
      <c r="X516" t="s">
        <v>1169</v>
      </c>
      <c r="Y516" s="4" t="s">
        <v>1266</v>
      </c>
      <c r="Z516" t="s">
        <v>45</v>
      </c>
      <c r="AA516" t="s">
        <v>718</v>
      </c>
      <c r="AB516" t="s">
        <v>43</v>
      </c>
      <c r="AC516" t="s">
        <v>43</v>
      </c>
      <c r="AD516" t="s">
        <v>43</v>
      </c>
      <c r="AE516" t="s">
        <v>43</v>
      </c>
      <c r="AF516" t="str">
        <f>AA516</f>
        <v>Güglingen Rasen 1 (Stadion), An der Weinsteige 1, 74363 Güglingen-Zentrum</v>
      </c>
      <c r="AG516" t="str">
        <f>TRIM(MID(AF516, FIND(", ", AF516)+2, FIND(", ", AF516, FIND(", ", AF516)+1) - FIND(", ", AF516) - 2))</f>
        <v>An der Weinsteige 1</v>
      </c>
      <c r="AH516" t="str">
        <f>_xlfn.TEXTBEFORE(_xlfn.TEXTAFTER(AF516, ", ", 2), " ")</f>
        <v>74363</v>
      </c>
      <c r="AI516" t="str">
        <f>_xlfn.TEXTAFTER(_xlfn.TEXTAFTER(AF516, ", ", 2), " ")</f>
        <v>Güglingen-Zentrum</v>
      </c>
    </row>
    <row r="517" spans="1:35" x14ac:dyDescent="0.2">
      <c r="A517" t="str">
        <f>B517&amp;C517&amp;H517&amp;N517</f>
        <v>35000565ASV HeilbronnE-Junioren4</v>
      </c>
      <c r="B517" t="s">
        <v>895</v>
      </c>
      <c r="C517" t="s">
        <v>896</v>
      </c>
      <c r="D517" t="s">
        <v>34</v>
      </c>
      <c r="E517" t="s">
        <v>35</v>
      </c>
      <c r="F517" t="s">
        <v>36</v>
      </c>
      <c r="G517">
        <v>3</v>
      </c>
      <c r="H517" t="s">
        <v>1112</v>
      </c>
      <c r="I517" t="s">
        <v>114</v>
      </c>
      <c r="J517" t="s">
        <v>1113</v>
      </c>
      <c r="K517" t="s">
        <v>1260</v>
      </c>
      <c r="L517" t="s">
        <v>1407</v>
      </c>
      <c r="M517">
        <v>3</v>
      </c>
      <c r="N517">
        <v>4</v>
      </c>
      <c r="O517" t="s">
        <v>1261</v>
      </c>
      <c r="P517" t="s">
        <v>40</v>
      </c>
      <c r="Q517" t="s">
        <v>53</v>
      </c>
      <c r="R517" t="s">
        <v>1094</v>
      </c>
      <c r="S517" t="s">
        <v>1115</v>
      </c>
      <c r="T517" t="s">
        <v>837</v>
      </c>
      <c r="U517" s="2" t="s">
        <v>226</v>
      </c>
      <c r="V517" t="s">
        <v>43</v>
      </c>
      <c r="W517" t="s">
        <v>43</v>
      </c>
      <c r="X517" t="s">
        <v>1022</v>
      </c>
      <c r="Y517" s="4" t="s">
        <v>1023</v>
      </c>
      <c r="Z517" t="s">
        <v>45</v>
      </c>
      <c r="AA517" t="s">
        <v>902</v>
      </c>
      <c r="AB517" t="s">
        <v>43</v>
      </c>
      <c r="AC517" t="s">
        <v>43</v>
      </c>
      <c r="AD517" t="s">
        <v>43</v>
      </c>
      <c r="AE517" t="s">
        <v>43</v>
      </c>
      <c r="AF517" t="str">
        <f>AA517</f>
        <v>Wertwiesen (ASV) Rasen, Wertwiesen 6, 74081 Heilbronn-Sontheim</v>
      </c>
      <c r="AG517" t="str">
        <f>TRIM(MID(AF517, FIND(", ", AF517)+2, FIND(", ", AF517, FIND(", ", AF517)+1) - FIND(", ", AF517) - 2))</f>
        <v>Wertwiesen 6</v>
      </c>
      <c r="AH517" t="str">
        <f>_xlfn.TEXTBEFORE(_xlfn.TEXTAFTER(AF517, ", ", 2), " ")</f>
        <v>74081</v>
      </c>
      <c r="AI517" t="str">
        <f>_xlfn.TEXTAFTER(_xlfn.TEXTAFTER(AF517, ", ", 2), " ")</f>
        <v>Heilbronn-Sontheim</v>
      </c>
    </row>
    <row r="518" spans="1:35" x14ac:dyDescent="0.2">
      <c r="A518" t="str">
        <f>B518&amp;C518&amp;H518&amp;N518</f>
        <v>35000765Spfr LauffenE-Junioren3</v>
      </c>
      <c r="B518" t="s">
        <v>390</v>
      </c>
      <c r="C518" t="s">
        <v>391</v>
      </c>
      <c r="D518" t="s">
        <v>34</v>
      </c>
      <c r="E518" t="s">
        <v>35</v>
      </c>
      <c r="F518" t="s">
        <v>36</v>
      </c>
      <c r="G518">
        <v>3</v>
      </c>
      <c r="H518" t="s">
        <v>1112</v>
      </c>
      <c r="I518" t="s">
        <v>114</v>
      </c>
      <c r="J518" t="s">
        <v>1113</v>
      </c>
      <c r="K518" t="s">
        <v>1260</v>
      </c>
      <c r="L518" t="s">
        <v>1407</v>
      </c>
      <c r="M518">
        <v>6</v>
      </c>
      <c r="N518">
        <v>3</v>
      </c>
      <c r="O518" t="s">
        <v>1268</v>
      </c>
      <c r="P518" s="2" t="s">
        <v>40</v>
      </c>
      <c r="Q518" t="s">
        <v>53</v>
      </c>
      <c r="R518" t="s">
        <v>1094</v>
      </c>
      <c r="S518" t="s">
        <v>1115</v>
      </c>
      <c r="T518" t="s">
        <v>1000</v>
      </c>
      <c r="U518" t="s">
        <v>42</v>
      </c>
      <c r="V518" t="s">
        <v>43</v>
      </c>
      <c r="W518" t="s">
        <v>43</v>
      </c>
      <c r="Y518" t="s">
        <v>43</v>
      </c>
      <c r="Z518" t="s">
        <v>45</v>
      </c>
      <c r="AA518" t="s">
        <v>694</v>
      </c>
      <c r="AB518" t="s">
        <v>43</v>
      </c>
      <c r="AC518" t="s">
        <v>43</v>
      </c>
      <c r="AD518" t="s">
        <v>43</v>
      </c>
      <c r="AE518" t="s">
        <v>43</v>
      </c>
      <c r="AF518" t="str">
        <f>AA518</f>
        <v>Lauffen Rasen 2, Am Forchenwald, 74348 Lauffen am Neckar</v>
      </c>
      <c r="AG518" t="str">
        <f>TRIM(MID(AF518, FIND(", ", AF518)+2, FIND(", ", AF518, FIND(", ", AF518)+1) - FIND(", ", AF518) - 2))</f>
        <v>Am Forchenwald</v>
      </c>
      <c r="AH518" t="str">
        <f>_xlfn.TEXTBEFORE(_xlfn.TEXTAFTER(AF518, ", ", 2), " ")</f>
        <v>74348</v>
      </c>
      <c r="AI518" t="str">
        <f>_xlfn.TEXTAFTER(_xlfn.TEXTAFTER(AF518, ", ", 2), " ")</f>
        <v>Lauffen am Neckar</v>
      </c>
    </row>
    <row r="519" spans="1:35" x14ac:dyDescent="0.2">
      <c r="A519" t="str">
        <f>B519&amp;C519&amp;H519&amp;N519</f>
        <v>35000842TSV MeimsheimE-Junioren4</v>
      </c>
      <c r="B519" t="s">
        <v>217</v>
      </c>
      <c r="C519" t="s">
        <v>218</v>
      </c>
      <c r="D519" t="s">
        <v>34</v>
      </c>
      <c r="E519" t="s">
        <v>35</v>
      </c>
      <c r="F519" t="s">
        <v>36</v>
      </c>
      <c r="G519">
        <v>3</v>
      </c>
      <c r="H519" t="s">
        <v>1112</v>
      </c>
      <c r="I519" t="s">
        <v>114</v>
      </c>
      <c r="J519" t="s">
        <v>1113</v>
      </c>
      <c r="K519" t="s">
        <v>1260</v>
      </c>
      <c r="L519" t="s">
        <v>1407</v>
      </c>
      <c r="M519">
        <v>2</v>
      </c>
      <c r="N519">
        <v>4</v>
      </c>
      <c r="O519" t="s">
        <v>1267</v>
      </c>
      <c r="P519" t="s">
        <v>40</v>
      </c>
      <c r="Q519" t="s">
        <v>53</v>
      </c>
      <c r="R519" t="s">
        <v>1094</v>
      </c>
      <c r="S519" t="s">
        <v>1115</v>
      </c>
      <c r="T519" t="s">
        <v>837</v>
      </c>
      <c r="U519" t="s">
        <v>226</v>
      </c>
      <c r="V519" t="s">
        <v>43</v>
      </c>
      <c r="W519" t="s">
        <v>43</v>
      </c>
      <c r="Y519" t="s">
        <v>43</v>
      </c>
      <c r="Z519" t="s">
        <v>45</v>
      </c>
      <c r="AA519" t="s">
        <v>395</v>
      </c>
      <c r="AB519" t="s">
        <v>43</v>
      </c>
      <c r="AC519" t="s">
        <v>43</v>
      </c>
      <c r="AD519" t="s">
        <v>43</v>
      </c>
      <c r="AE519" t="s">
        <v>43</v>
      </c>
      <c r="AF519" t="str">
        <f>AA519</f>
        <v>Brackenheim Wiesental Kunstrasen, Im Wiesental, 74336 Brackenheim-Zentrum</v>
      </c>
      <c r="AG519" t="str">
        <f>TRIM(MID(AF519, FIND(", ", AF519)+2, FIND(", ", AF519, FIND(", ", AF519)+1) - FIND(", ", AF519) - 2))</f>
        <v>Im Wiesental</v>
      </c>
      <c r="AH519" t="str">
        <f>_xlfn.TEXTBEFORE(_xlfn.TEXTAFTER(AF519, ", ", 2), " ")</f>
        <v>74336</v>
      </c>
      <c r="AI519" t="str">
        <f>_xlfn.TEXTAFTER(_xlfn.TEXTAFTER(AF519, ", ", 2), " ")</f>
        <v>Brackenheim-Zentrum</v>
      </c>
    </row>
    <row r="520" spans="1:35" x14ac:dyDescent="0.2">
      <c r="A520" t="str">
        <f>B520&amp;C520&amp;H520&amp;N520</f>
        <v>35002135SC Oberes ZabergäuE-Junioren2</v>
      </c>
      <c r="B520" t="s">
        <v>257</v>
      </c>
      <c r="C520" t="s">
        <v>258</v>
      </c>
      <c r="D520" t="s">
        <v>34</v>
      </c>
      <c r="E520" t="s">
        <v>35</v>
      </c>
      <c r="F520" t="s">
        <v>36</v>
      </c>
      <c r="G520">
        <v>3</v>
      </c>
      <c r="H520" t="s">
        <v>1112</v>
      </c>
      <c r="I520" t="s">
        <v>114</v>
      </c>
      <c r="J520" t="s">
        <v>1113</v>
      </c>
      <c r="K520" t="s">
        <v>1260</v>
      </c>
      <c r="L520" t="s">
        <v>1407</v>
      </c>
      <c r="M520">
        <v>7</v>
      </c>
      <c r="N520">
        <v>2</v>
      </c>
      <c r="O520" t="s">
        <v>1262</v>
      </c>
      <c r="P520" t="s">
        <v>40</v>
      </c>
      <c r="Q520" t="s">
        <v>53</v>
      </c>
      <c r="R520" t="s">
        <v>1094</v>
      </c>
      <c r="S520" t="s">
        <v>1115</v>
      </c>
      <c r="T520" t="s">
        <v>974</v>
      </c>
      <c r="U520" t="s">
        <v>226</v>
      </c>
      <c r="V520" t="s">
        <v>43</v>
      </c>
      <c r="W520" t="s">
        <v>43</v>
      </c>
      <c r="X520" t="s">
        <v>1263</v>
      </c>
      <c r="Y520" s="4" t="s">
        <v>1264</v>
      </c>
      <c r="Z520" t="s">
        <v>45</v>
      </c>
      <c r="AA520" t="s">
        <v>263</v>
      </c>
      <c r="AB520" t="s">
        <v>262</v>
      </c>
      <c r="AC520" t="s">
        <v>261</v>
      </c>
      <c r="AD520" t="s">
        <v>43</v>
      </c>
      <c r="AE520" t="s">
        <v>43</v>
      </c>
      <c r="AF520" t="str">
        <f>AC520</f>
        <v>Zaberfeld Rasen 1, Weilerer Str., 74374 Zaberfeld-Zentrum</v>
      </c>
      <c r="AG520" t="str">
        <f>TRIM(MID(AF520, FIND(", ", AF520)+2, FIND(", ", AF520, FIND(", ", AF520)+1) - FIND(", ", AF520) - 2))</f>
        <v>Weilerer Str.</v>
      </c>
      <c r="AH520" t="str">
        <f>_xlfn.TEXTBEFORE(_xlfn.TEXTAFTER(AF520, ", ", 2), " ")</f>
        <v>74374</v>
      </c>
      <c r="AI520" t="str">
        <f>_xlfn.TEXTAFTER(_xlfn.TEXTAFTER(AF520, ", ", 2), " ")</f>
        <v>Zaberfeld-Zentrum</v>
      </c>
    </row>
    <row r="521" spans="1:35" x14ac:dyDescent="0.2">
      <c r="A521" t="str">
        <f>B521&amp;C521&amp;H521&amp;N521</f>
        <v>35000150DJK-TSV BieringenE-Junioren1</v>
      </c>
      <c r="B521" t="s">
        <v>758</v>
      </c>
      <c r="C521" t="s">
        <v>759</v>
      </c>
      <c r="D521" t="s">
        <v>49</v>
      </c>
      <c r="E521" t="s">
        <v>35</v>
      </c>
      <c r="F521" t="s">
        <v>50</v>
      </c>
      <c r="G521">
        <v>3</v>
      </c>
      <c r="H521" t="s">
        <v>1112</v>
      </c>
      <c r="I521" t="s">
        <v>114</v>
      </c>
      <c r="J521" t="s">
        <v>1269</v>
      </c>
      <c r="K521" t="s">
        <v>1270</v>
      </c>
      <c r="L521" t="s">
        <v>1408</v>
      </c>
      <c r="M521">
        <v>4</v>
      </c>
      <c r="N521">
        <v>1</v>
      </c>
      <c r="O521" t="s">
        <v>913</v>
      </c>
      <c r="P521" t="s">
        <v>40</v>
      </c>
      <c r="Q521" t="s">
        <v>53</v>
      </c>
      <c r="R521" t="s">
        <v>1094</v>
      </c>
      <c r="S521" t="s">
        <v>1115</v>
      </c>
      <c r="T521" t="s">
        <v>837</v>
      </c>
      <c r="U521" t="s">
        <v>118</v>
      </c>
      <c r="V521" t="s">
        <v>43</v>
      </c>
      <c r="W521" t="s">
        <v>43</v>
      </c>
      <c r="Y521" t="s">
        <v>43</v>
      </c>
      <c r="Z521" t="s">
        <v>45</v>
      </c>
      <c r="AA521" t="s">
        <v>761</v>
      </c>
      <c r="AB521" t="s">
        <v>43</v>
      </c>
      <c r="AC521" t="s">
        <v>43</v>
      </c>
      <c r="AD521" t="s">
        <v>43</v>
      </c>
      <c r="AE521" t="s">
        <v>43</v>
      </c>
      <c r="AF521" t="str">
        <f>AA521</f>
        <v>Sportplatz 1, DJK Bieringen, Max-Eyth-Str., 74214 Schöntal-Bieringen</v>
      </c>
      <c r="AG521" t="str">
        <f>_xlfn.TEXTBEFORE(_xlfn.TEXTAFTER(AF521, ", ", 2), ",")</f>
        <v>Max-Eyth-Str.</v>
      </c>
      <c r="AH521" t="str">
        <f>_xlfn.TEXTBEFORE(_xlfn.TEXTAFTER(AF521, ", ", 3), " ")</f>
        <v>74214</v>
      </c>
      <c r="AI521" t="str">
        <f>_xlfn.TEXTAFTER(_xlfn.TEXTAFTER(AF521, ", ", 3), " ")</f>
        <v>Schöntal-Bieringen</v>
      </c>
    </row>
    <row r="522" spans="1:35" x14ac:dyDescent="0.2">
      <c r="A522" t="str">
        <f>B522&amp;C522&amp;H522&amp;N522</f>
        <v>35000281TSV DörzbachE-Junioren1</v>
      </c>
      <c r="B522" t="s">
        <v>1272</v>
      </c>
      <c r="C522" t="s">
        <v>1273</v>
      </c>
      <c r="D522" t="s">
        <v>49</v>
      </c>
      <c r="E522" t="s">
        <v>35</v>
      </c>
      <c r="F522" t="s">
        <v>50</v>
      </c>
      <c r="G522">
        <v>3</v>
      </c>
      <c r="H522" t="s">
        <v>1112</v>
      </c>
      <c r="I522" t="s">
        <v>114</v>
      </c>
      <c r="J522" t="s">
        <v>1269</v>
      </c>
      <c r="K522" t="s">
        <v>1270</v>
      </c>
      <c r="L522" t="s">
        <v>1408</v>
      </c>
      <c r="M522">
        <v>8</v>
      </c>
      <c r="N522">
        <v>1</v>
      </c>
      <c r="O522" t="s">
        <v>1274</v>
      </c>
      <c r="P522" t="s">
        <v>40</v>
      </c>
      <c r="Q522" t="s">
        <v>53</v>
      </c>
      <c r="R522" t="s">
        <v>1094</v>
      </c>
      <c r="S522" t="s">
        <v>1115</v>
      </c>
      <c r="T522" t="s">
        <v>837</v>
      </c>
      <c r="U522" t="s">
        <v>118</v>
      </c>
      <c r="V522" t="s">
        <v>43</v>
      </c>
      <c r="W522" t="s">
        <v>43</v>
      </c>
      <c r="X522" t="s">
        <v>1118</v>
      </c>
      <c r="Y522" s="4" t="s">
        <v>1275</v>
      </c>
      <c r="Z522" t="s">
        <v>45</v>
      </c>
      <c r="AA522" t="s">
        <v>1066</v>
      </c>
      <c r="AB522" t="s">
        <v>43</v>
      </c>
      <c r="AC522" t="s">
        <v>43</v>
      </c>
      <c r="AD522" t="s">
        <v>43</v>
      </c>
      <c r="AE522" t="s">
        <v>43</v>
      </c>
      <c r="AF522" t="str">
        <f>AA522</f>
        <v>Sportplatz 1, TSV Dörzbach, Meßbacher Str., 74677 Dörzbach-Zentrum</v>
      </c>
      <c r="AG522" t="str">
        <f>_xlfn.TEXTBEFORE(_xlfn.TEXTAFTER(AF522, ", ", 2), ",")</f>
        <v>Meßbacher Str.</v>
      </c>
      <c r="AH522" t="str">
        <f>_xlfn.TEXTBEFORE(_xlfn.TEXTAFTER(AF522, ", ", 3), " ")</f>
        <v>74677</v>
      </c>
      <c r="AI522" t="str">
        <f>_xlfn.TEXTAFTER(_xlfn.TEXTAFTER(AF522, ", ", 3), " ")</f>
        <v>Dörzbach-Zentrum</v>
      </c>
    </row>
    <row r="523" spans="1:35" x14ac:dyDescent="0.2">
      <c r="A523" t="str">
        <f>B523&amp;C523&amp;H523&amp;N523</f>
        <v>35001710VfR GommersdorfE-Junioren1</v>
      </c>
      <c r="B523" t="s">
        <v>90</v>
      </c>
      <c r="C523" t="s">
        <v>91</v>
      </c>
      <c r="D523" t="s">
        <v>49</v>
      </c>
      <c r="E523" t="s">
        <v>35</v>
      </c>
      <c r="F523" t="s">
        <v>50</v>
      </c>
      <c r="G523">
        <v>3</v>
      </c>
      <c r="H523" t="s">
        <v>1112</v>
      </c>
      <c r="I523" t="s">
        <v>114</v>
      </c>
      <c r="J523" t="s">
        <v>1269</v>
      </c>
      <c r="K523" t="s">
        <v>1270</v>
      </c>
      <c r="L523" t="s">
        <v>1408</v>
      </c>
      <c r="M523">
        <v>3</v>
      </c>
      <c r="N523">
        <v>1</v>
      </c>
      <c r="O523" t="s">
        <v>1283</v>
      </c>
      <c r="P523" t="s">
        <v>40</v>
      </c>
      <c r="Q523" t="s">
        <v>40</v>
      </c>
      <c r="R523" t="s">
        <v>1094</v>
      </c>
      <c r="S523" t="s">
        <v>1115</v>
      </c>
      <c r="T523" t="s">
        <v>837</v>
      </c>
      <c r="U523" t="s">
        <v>118</v>
      </c>
      <c r="V523" t="s">
        <v>43</v>
      </c>
      <c r="W523" t="s">
        <v>43</v>
      </c>
      <c r="X523" t="s">
        <v>1284</v>
      </c>
      <c r="Y523" s="4" t="s">
        <v>1285</v>
      </c>
      <c r="Z523" t="s">
        <v>45</v>
      </c>
      <c r="AA523" t="s">
        <v>96</v>
      </c>
      <c r="AB523" t="s">
        <v>43</v>
      </c>
      <c r="AC523" t="s">
        <v>43</v>
      </c>
      <c r="AD523" t="s">
        <v>43</v>
      </c>
      <c r="AE523" t="s">
        <v>43</v>
      </c>
      <c r="AF523" t="str">
        <f>AA523</f>
        <v>VfR Gommersdorf - Dieter-Gärtner-Arena 2, Stichele 1, 74238 Krautheim-Gommersdorf</v>
      </c>
      <c r="AG523" t="str">
        <f>TRIM(MID(AF523, FIND(", ", AF523)+2, FIND(", ", AF523, FIND(", ", AF523)+1) - FIND(", ", AF523) - 2))</f>
        <v>Stichele 1</v>
      </c>
      <c r="AH523" t="str">
        <f>_xlfn.TEXTBEFORE(_xlfn.TEXTAFTER(AF523, ", ", 2), " ")</f>
        <v>74238</v>
      </c>
      <c r="AI523" t="str">
        <f>_xlfn.TEXTAFTER(_xlfn.TEXTAFTER(AF523, ", ", 2), " ")</f>
        <v>Krautheim-Gommersdorf</v>
      </c>
    </row>
    <row r="524" spans="1:35" x14ac:dyDescent="0.2">
      <c r="A524" t="str">
        <f>B524&amp;C524&amp;H524&amp;N524</f>
        <v>35000319SV EdelfingenE-Junioren1</v>
      </c>
      <c r="B524" t="s">
        <v>1276</v>
      </c>
      <c r="C524" t="s">
        <v>1277</v>
      </c>
      <c r="D524" t="s">
        <v>204</v>
      </c>
      <c r="E524" t="s">
        <v>35</v>
      </c>
      <c r="F524" t="s">
        <v>50</v>
      </c>
      <c r="G524">
        <v>3</v>
      </c>
      <c r="H524" t="s">
        <v>1112</v>
      </c>
      <c r="I524" t="s">
        <v>114</v>
      </c>
      <c r="J524" t="s">
        <v>1269</v>
      </c>
      <c r="K524" t="s">
        <v>1270</v>
      </c>
      <c r="L524" t="s">
        <v>1408</v>
      </c>
      <c r="M524">
        <v>7</v>
      </c>
      <c r="N524">
        <v>1</v>
      </c>
      <c r="O524" t="s">
        <v>1278</v>
      </c>
      <c r="P524" t="s">
        <v>40</v>
      </c>
      <c r="Q524" t="s">
        <v>53</v>
      </c>
      <c r="R524" t="s">
        <v>1094</v>
      </c>
      <c r="S524" t="s">
        <v>1115</v>
      </c>
      <c r="T524" t="s">
        <v>837</v>
      </c>
      <c r="U524" t="s">
        <v>118</v>
      </c>
      <c r="V524" t="s">
        <v>43</v>
      </c>
      <c r="W524" t="s">
        <v>43</v>
      </c>
      <c r="X524" t="s">
        <v>1279</v>
      </c>
      <c r="Y524" s="4" t="s">
        <v>1280</v>
      </c>
      <c r="Z524" t="s">
        <v>45</v>
      </c>
      <c r="AA524" t="s">
        <v>1281</v>
      </c>
      <c r="AB524" t="s">
        <v>43</v>
      </c>
      <c r="AC524" t="s">
        <v>43</v>
      </c>
      <c r="AD524" t="s">
        <v>43</v>
      </c>
      <c r="AE524" t="s">
        <v>43</v>
      </c>
      <c r="AF524" t="str">
        <f>AA524</f>
        <v>Sportplatz 1 Edelfingen, Theobaldstr., 97980 Bad Mergentheim-Edelfingen</v>
      </c>
      <c r="AG524" t="str">
        <f>TRIM(MID(AF524, FIND(", ", AF524)+2, FIND(", ", AF524, FIND(", ", AF524)+1) - FIND(", ", AF524) - 2))</f>
        <v>Theobaldstr.</v>
      </c>
      <c r="AH524" t="str">
        <f>_xlfn.TEXTBEFORE(_xlfn.TEXTAFTER(AF524, ", ", 2), " ")</f>
        <v>97980</v>
      </c>
      <c r="AI524" t="str">
        <f>_xlfn.TEXTAFTER(_xlfn.TEXTAFTER(AF524, ", ", 2), " ")</f>
        <v>Bad Mergentheim-Edelfingen</v>
      </c>
    </row>
    <row r="525" spans="1:35" x14ac:dyDescent="0.2">
      <c r="A525" t="str">
        <f>B525&amp;C525&amp;H525&amp;N525</f>
        <v>350006591. FC IgersheimE-Junioren1</v>
      </c>
      <c r="B525" t="s">
        <v>408</v>
      </c>
      <c r="C525" t="s">
        <v>409</v>
      </c>
      <c r="D525" t="s">
        <v>204</v>
      </c>
      <c r="E525" t="s">
        <v>35</v>
      </c>
      <c r="F525" t="s">
        <v>50</v>
      </c>
      <c r="G525">
        <v>3</v>
      </c>
      <c r="H525" t="s">
        <v>1112</v>
      </c>
      <c r="I525" t="s">
        <v>114</v>
      </c>
      <c r="J525" t="s">
        <v>1269</v>
      </c>
      <c r="K525" t="s">
        <v>1270</v>
      </c>
      <c r="L525" t="s">
        <v>1408</v>
      </c>
      <c r="M525">
        <v>6</v>
      </c>
      <c r="N525">
        <v>1</v>
      </c>
      <c r="O525" t="s">
        <v>1271</v>
      </c>
      <c r="P525" t="s">
        <v>40</v>
      </c>
      <c r="Q525" t="s">
        <v>53</v>
      </c>
      <c r="R525" t="s">
        <v>1094</v>
      </c>
      <c r="S525" t="s">
        <v>1115</v>
      </c>
      <c r="T525" t="s">
        <v>837</v>
      </c>
      <c r="U525" t="s">
        <v>118</v>
      </c>
      <c r="V525" t="s">
        <v>43</v>
      </c>
      <c r="W525" t="s">
        <v>43</v>
      </c>
      <c r="Y525" t="s">
        <v>43</v>
      </c>
      <c r="Z525" t="s">
        <v>45</v>
      </c>
      <c r="AA525" t="s">
        <v>206</v>
      </c>
      <c r="AB525" t="s">
        <v>43</v>
      </c>
      <c r="AC525" t="s">
        <v>43</v>
      </c>
      <c r="AD525" t="s">
        <v>43</v>
      </c>
      <c r="AE525" t="s">
        <v>43</v>
      </c>
      <c r="AF525" t="str">
        <f>AA525</f>
        <v>Sportplatz an der Erlenbachtalhalle Igersheim, Erlenbachtalstr., 97999 Igersheim-Zentrum</v>
      </c>
      <c r="AG525" t="str">
        <f>TRIM(MID(AF525, FIND(", ", AF525)+2, FIND(", ", AF525, FIND(", ", AF525)+1) - FIND(", ", AF525) - 2))</f>
        <v>Erlenbachtalstr.</v>
      </c>
      <c r="AH525" t="str">
        <f>_xlfn.TEXTBEFORE(_xlfn.TEXTAFTER(AF525, ", ", 2), " ")</f>
        <v>97999</v>
      </c>
      <c r="AI525" t="str">
        <f>_xlfn.TEXTAFTER(_xlfn.TEXTAFTER(AF525, ", ", 2), " ")</f>
        <v>Igersheim-Zentrum</v>
      </c>
    </row>
    <row r="526" spans="1:35" x14ac:dyDescent="0.2">
      <c r="A526" t="str">
        <f>B526&amp;C526&amp;H526&amp;N526</f>
        <v>35001441SV WachbachE-Junioren1</v>
      </c>
      <c r="B526" t="s">
        <v>558</v>
      </c>
      <c r="C526" t="s">
        <v>559</v>
      </c>
      <c r="D526" t="s">
        <v>204</v>
      </c>
      <c r="E526" t="s">
        <v>35</v>
      </c>
      <c r="F526" t="s">
        <v>50</v>
      </c>
      <c r="G526">
        <v>3</v>
      </c>
      <c r="H526" t="s">
        <v>1112</v>
      </c>
      <c r="I526" t="s">
        <v>114</v>
      </c>
      <c r="J526" t="s">
        <v>1269</v>
      </c>
      <c r="K526" t="s">
        <v>1270</v>
      </c>
      <c r="L526" t="s">
        <v>1408</v>
      </c>
      <c r="M526">
        <v>2</v>
      </c>
      <c r="N526">
        <v>1</v>
      </c>
      <c r="O526" t="s">
        <v>1282</v>
      </c>
      <c r="P526" t="s">
        <v>40</v>
      </c>
      <c r="Q526" t="s">
        <v>53</v>
      </c>
      <c r="R526" t="s">
        <v>1094</v>
      </c>
      <c r="S526" t="s">
        <v>1115</v>
      </c>
      <c r="T526" t="s">
        <v>849</v>
      </c>
      <c r="U526" t="s">
        <v>118</v>
      </c>
      <c r="V526" t="s">
        <v>43</v>
      </c>
      <c r="W526" t="s">
        <v>43</v>
      </c>
      <c r="Y526" t="s">
        <v>43</v>
      </c>
      <c r="Z526" t="s">
        <v>45</v>
      </c>
      <c r="AA526" t="s">
        <v>562</v>
      </c>
      <c r="AB526" t="s">
        <v>43</v>
      </c>
      <c r="AC526" t="s">
        <v>43</v>
      </c>
      <c r="AD526" t="s">
        <v>43</v>
      </c>
      <c r="AE526" t="s">
        <v>43</v>
      </c>
      <c r="AF526" t="str">
        <f>AA526</f>
        <v>Sportpark im Erpfental, Erpfentalstr. 6, 97980 Bad Mergentheim-Wachbach</v>
      </c>
      <c r="AG526" t="str">
        <f>TRIM(MID(AF526, FIND(", ", AF526)+2, FIND(", ", AF526, FIND(", ", AF526)+1) - FIND(", ", AF526) - 2))</f>
        <v>Erpfentalstr. 6</v>
      </c>
      <c r="AH526" t="str">
        <f>_xlfn.TEXTBEFORE(_xlfn.TEXTAFTER(AF526, ", ", 2), " ")</f>
        <v>97980</v>
      </c>
      <c r="AI526" t="str">
        <f>_xlfn.TEXTAFTER(_xlfn.TEXTAFTER(AF526, ", ", 2), " ")</f>
        <v>Bad Mergentheim-Wachbach</v>
      </c>
    </row>
    <row r="527" spans="1:35" x14ac:dyDescent="0.2">
      <c r="A527" t="str">
        <f>B527&amp;C527&amp;H527&amp;N527</f>
        <v>35001478TSV WeikersheimE-Junioren1</v>
      </c>
      <c r="B527" t="s">
        <v>325</v>
      </c>
      <c r="C527" t="s">
        <v>326</v>
      </c>
      <c r="D527" t="s">
        <v>204</v>
      </c>
      <c r="E527" t="s">
        <v>35</v>
      </c>
      <c r="F527" t="s">
        <v>50</v>
      </c>
      <c r="G527">
        <v>3</v>
      </c>
      <c r="H527" t="s">
        <v>1112</v>
      </c>
      <c r="I527" t="s">
        <v>114</v>
      </c>
      <c r="J527" t="s">
        <v>1269</v>
      </c>
      <c r="K527" t="s">
        <v>1270</v>
      </c>
      <c r="L527" t="s">
        <v>1408</v>
      </c>
      <c r="M527">
        <v>5</v>
      </c>
      <c r="N527">
        <v>1</v>
      </c>
      <c r="O527" t="s">
        <v>891</v>
      </c>
      <c r="P527" t="s">
        <v>40</v>
      </c>
      <c r="Q527" t="s">
        <v>53</v>
      </c>
      <c r="R527" t="s">
        <v>1094</v>
      </c>
      <c r="S527" t="s">
        <v>1115</v>
      </c>
      <c r="T527" t="s">
        <v>837</v>
      </c>
      <c r="U527" t="s">
        <v>118</v>
      </c>
      <c r="V527" t="s">
        <v>43</v>
      </c>
      <c r="W527" t="s">
        <v>43</v>
      </c>
      <c r="Y527" t="s">
        <v>43</v>
      </c>
      <c r="Z527" t="s">
        <v>45</v>
      </c>
      <c r="AA527" t="s">
        <v>824</v>
      </c>
      <c r="AB527" t="s">
        <v>43</v>
      </c>
      <c r="AC527" t="s">
        <v>43</v>
      </c>
      <c r="AD527" t="s">
        <v>43</v>
      </c>
      <c r="AE527" t="s">
        <v>43</v>
      </c>
      <c r="AF527" t="str">
        <f>AA527</f>
        <v>Sportplatz 1 Markelsheim, Unterer Wasen 5, 97980 Bad Mergentheim-Markelsheim</v>
      </c>
      <c r="AG527" t="str">
        <f>TRIM(MID(AF527, FIND(", ", AF527)+2, FIND(", ", AF527, FIND(", ", AF527)+1) - FIND(", ", AF527) - 2))</f>
        <v>Unterer Wasen 5</v>
      </c>
      <c r="AH527" t="str">
        <f>_xlfn.TEXTBEFORE(_xlfn.TEXTAFTER(AF527, ", ", 2), " ")</f>
        <v>97980</v>
      </c>
      <c r="AI527" t="str">
        <f>_xlfn.TEXTAFTER(_xlfn.TEXTAFTER(AF527, ", ", 2), " ")</f>
        <v>Bad Mergentheim-Markelsheim</v>
      </c>
    </row>
    <row r="528" spans="1:35" x14ac:dyDescent="0.2">
      <c r="A528" t="str">
        <f>B528&amp;C528&amp;H528&amp;N528</f>
        <v>35000170TSV BitzfeldE-Junioren1</v>
      </c>
      <c r="B528" t="s">
        <v>667</v>
      </c>
      <c r="C528" t="s">
        <v>668</v>
      </c>
      <c r="D528" t="s">
        <v>66</v>
      </c>
      <c r="E528" t="s">
        <v>35</v>
      </c>
      <c r="F528" t="s">
        <v>50</v>
      </c>
      <c r="G528">
        <v>3</v>
      </c>
      <c r="H528" t="s">
        <v>1112</v>
      </c>
      <c r="I528" t="s">
        <v>114</v>
      </c>
      <c r="J528" t="s">
        <v>1269</v>
      </c>
      <c r="K528" t="s">
        <v>1288</v>
      </c>
      <c r="L528" t="s">
        <v>1409</v>
      </c>
      <c r="M528">
        <v>2</v>
      </c>
      <c r="N528">
        <v>1</v>
      </c>
      <c r="O528" t="s">
        <v>669</v>
      </c>
      <c r="P528" t="s">
        <v>40</v>
      </c>
      <c r="Q528" t="s">
        <v>40</v>
      </c>
      <c r="R528" t="s">
        <v>1094</v>
      </c>
      <c r="S528" t="s">
        <v>1115</v>
      </c>
      <c r="T528" t="s">
        <v>837</v>
      </c>
      <c r="U528" t="s">
        <v>118</v>
      </c>
      <c r="V528" t="s">
        <v>43</v>
      </c>
      <c r="W528" t="s">
        <v>43</v>
      </c>
      <c r="X528" t="s">
        <v>1292</v>
      </c>
      <c r="Y528" s="4" t="s">
        <v>1293</v>
      </c>
      <c r="Z528" t="s">
        <v>45</v>
      </c>
      <c r="AA528" t="s">
        <v>1294</v>
      </c>
      <c r="AB528" t="s">
        <v>43</v>
      </c>
      <c r="AC528" t="s">
        <v>43</v>
      </c>
      <c r="AD528" t="s">
        <v>43</v>
      </c>
      <c r="AE528" t="s">
        <v>43</v>
      </c>
      <c r="AF528" t="str">
        <f>AA528</f>
        <v>Sportplatz 2 Bitzfeld, Hasenweg, 74626 Bretzfeld-Bitzfeld</v>
      </c>
      <c r="AG528" t="str">
        <f>TRIM(MID(AF528, FIND(", ", AF528)+2, FIND(", ", AF528, FIND(", ", AF528)+1) - FIND(", ", AF528) - 2))</f>
        <v>Hasenweg</v>
      </c>
      <c r="AH528" t="str">
        <f>_xlfn.TEXTBEFORE(_xlfn.TEXTAFTER(AF528, ", ", 2), " ")</f>
        <v>74626</v>
      </c>
      <c r="AI528" t="str">
        <f>_xlfn.TEXTAFTER(_xlfn.TEXTAFTER(AF528, ", ", 2), " ")</f>
        <v>Bretzfeld-Bitzfeld</v>
      </c>
    </row>
    <row r="529" spans="1:35" x14ac:dyDescent="0.2">
      <c r="A529" t="str">
        <f>B529&amp;C529&amp;H529&amp;N529</f>
        <v>35001002TSG ÖhringenE-Junioren1</v>
      </c>
      <c r="B529" t="s">
        <v>64</v>
      </c>
      <c r="C529" t="s">
        <v>65</v>
      </c>
      <c r="D529" t="s">
        <v>66</v>
      </c>
      <c r="E529" t="s">
        <v>35</v>
      </c>
      <c r="F529" t="s">
        <v>50</v>
      </c>
      <c r="G529">
        <v>3</v>
      </c>
      <c r="H529" t="s">
        <v>1112</v>
      </c>
      <c r="I529" t="s">
        <v>114</v>
      </c>
      <c r="J529" t="s">
        <v>1269</v>
      </c>
      <c r="K529" t="s">
        <v>1288</v>
      </c>
      <c r="L529" t="s">
        <v>1409</v>
      </c>
      <c r="M529">
        <v>5</v>
      </c>
      <c r="N529">
        <v>1</v>
      </c>
      <c r="O529" t="s">
        <v>893</v>
      </c>
      <c r="P529" t="s">
        <v>40</v>
      </c>
      <c r="Q529" t="s">
        <v>40</v>
      </c>
      <c r="R529" t="s">
        <v>1094</v>
      </c>
      <c r="S529" t="s">
        <v>1115</v>
      </c>
      <c r="T529" t="s">
        <v>837</v>
      </c>
      <c r="U529" t="s">
        <v>118</v>
      </c>
      <c r="V529" t="s">
        <v>43</v>
      </c>
      <c r="W529" t="s">
        <v>43</v>
      </c>
      <c r="Y529" t="s">
        <v>43</v>
      </c>
      <c r="Z529" t="s">
        <v>45</v>
      </c>
      <c r="AA529" t="s">
        <v>67</v>
      </c>
      <c r="AB529" t="s">
        <v>43</v>
      </c>
      <c r="AC529" t="s">
        <v>43</v>
      </c>
      <c r="AD529" t="s">
        <v>43</v>
      </c>
      <c r="AE529" t="s">
        <v>43</v>
      </c>
      <c r="AF529" t="str">
        <f>AA529</f>
        <v>Kunstrasenplatz TSG Öhringen, Pfaffenmühlweg 44, 74613 Öhringen-Zentrum</v>
      </c>
      <c r="AG529" t="str">
        <f>TRIM(MID(AF529, FIND(", ", AF529)+2, FIND(", ", AF529, FIND(", ", AF529)+1) - FIND(", ", AF529) - 2))</f>
        <v>Pfaffenmühlweg 44</v>
      </c>
      <c r="AH529" t="str">
        <f>_xlfn.TEXTBEFORE(_xlfn.TEXTAFTER(AF529, ", ", 2), " ")</f>
        <v>74613</v>
      </c>
      <c r="AI529" t="str">
        <f>_xlfn.TEXTAFTER(_xlfn.TEXTAFTER(AF529, ", ", 2), " ")</f>
        <v>Öhringen-Zentrum</v>
      </c>
    </row>
    <row r="530" spans="1:35" x14ac:dyDescent="0.2">
      <c r="A530" t="str">
        <f>B530&amp;C530&amp;H530&amp;N530</f>
        <v>35001044TSV PfedelbachE-Junioren1</v>
      </c>
      <c r="B530" t="s">
        <v>425</v>
      </c>
      <c r="C530" t="s">
        <v>426</v>
      </c>
      <c r="D530" t="s">
        <v>66</v>
      </c>
      <c r="E530" t="s">
        <v>35</v>
      </c>
      <c r="F530" t="s">
        <v>50</v>
      </c>
      <c r="G530">
        <v>3</v>
      </c>
      <c r="H530" t="s">
        <v>1112</v>
      </c>
      <c r="I530" t="s">
        <v>114</v>
      </c>
      <c r="J530" t="s">
        <v>1269</v>
      </c>
      <c r="K530" t="s">
        <v>1288</v>
      </c>
      <c r="L530" t="s">
        <v>1409</v>
      </c>
      <c r="M530">
        <v>6</v>
      </c>
      <c r="N530">
        <v>1</v>
      </c>
      <c r="O530" t="s">
        <v>427</v>
      </c>
      <c r="P530" t="s">
        <v>40</v>
      </c>
      <c r="Q530" t="s">
        <v>53</v>
      </c>
      <c r="R530" t="s">
        <v>1094</v>
      </c>
      <c r="S530" t="s">
        <v>1115</v>
      </c>
      <c r="T530" t="s">
        <v>837</v>
      </c>
      <c r="U530" t="s">
        <v>118</v>
      </c>
      <c r="V530" t="s">
        <v>43</v>
      </c>
      <c r="W530" t="s">
        <v>43</v>
      </c>
      <c r="Y530" t="s">
        <v>43</v>
      </c>
      <c r="Z530" t="s">
        <v>45</v>
      </c>
      <c r="AA530" t="s">
        <v>431</v>
      </c>
      <c r="AB530" t="s">
        <v>43</v>
      </c>
      <c r="AC530" t="s">
        <v>43</v>
      </c>
      <c r="AD530" t="s">
        <v>43</v>
      </c>
      <c r="AE530" t="s">
        <v>43</v>
      </c>
      <c r="AF530" t="str">
        <f>AA530</f>
        <v>Sportplatz TSV Pfedelbach , Hohenlohe Allee 9, 74629 Pfedelbach-Zentrum</v>
      </c>
      <c r="AG530" t="str">
        <f>TRIM(MID(AF530, FIND(", ", AF530)+2, FIND(", ", AF530, FIND(", ", AF530)+1) - FIND(", ", AF530) - 2))</f>
        <v>Hohenlohe Allee 9</v>
      </c>
      <c r="AH530" t="str">
        <f>_xlfn.TEXTBEFORE(_xlfn.TEXTAFTER(AF530, ", ", 2), " ")</f>
        <v>74629</v>
      </c>
      <c r="AI530" t="str">
        <f>_xlfn.TEXTAFTER(_xlfn.TEXTAFTER(AF530, ", ", 2), " ")</f>
        <v>Pfedelbach-Zentrum</v>
      </c>
    </row>
    <row r="531" spans="1:35" x14ac:dyDescent="0.2">
      <c r="A531" t="str">
        <f>B531&amp;C531&amp;H531&amp;N531</f>
        <v>35001163SG Sindringen/ErnsbachE-Junioren1</v>
      </c>
      <c r="B531" t="s">
        <v>1286</v>
      </c>
      <c r="C531" t="s">
        <v>1287</v>
      </c>
      <c r="D531" t="s">
        <v>66</v>
      </c>
      <c r="E531" t="s">
        <v>35</v>
      </c>
      <c r="F531" t="s">
        <v>50</v>
      </c>
      <c r="G531">
        <v>3</v>
      </c>
      <c r="H531" t="s">
        <v>1112</v>
      </c>
      <c r="I531" t="s">
        <v>114</v>
      </c>
      <c r="J531" t="s">
        <v>1269</v>
      </c>
      <c r="K531" t="s">
        <v>1288</v>
      </c>
      <c r="L531" t="s">
        <v>1409</v>
      </c>
      <c r="M531">
        <v>4</v>
      </c>
      <c r="N531">
        <v>1</v>
      </c>
      <c r="O531" t="s">
        <v>1289</v>
      </c>
      <c r="P531" t="s">
        <v>40</v>
      </c>
      <c r="Q531" t="s">
        <v>53</v>
      </c>
      <c r="R531" t="s">
        <v>1094</v>
      </c>
      <c r="S531" t="s">
        <v>1115</v>
      </c>
      <c r="T531" t="s">
        <v>849</v>
      </c>
      <c r="U531" t="s">
        <v>118</v>
      </c>
      <c r="V531" t="s">
        <v>43</v>
      </c>
      <c r="W531" t="s">
        <v>43</v>
      </c>
      <c r="Y531" t="s">
        <v>43</v>
      </c>
      <c r="Z531" t="s">
        <v>45</v>
      </c>
      <c r="AA531" t="s">
        <v>843</v>
      </c>
      <c r="AB531" t="s">
        <v>1290</v>
      </c>
      <c r="AC531" t="s">
        <v>1291</v>
      </c>
      <c r="AD531" t="s">
        <v>43</v>
      </c>
      <c r="AE531" t="s">
        <v>43</v>
      </c>
      <c r="AF531" t="str">
        <f>AC531</f>
        <v>Sportplatz 1 Ernsbach, Forchtenberger Str. 25, 74670 Forchtenberg-Ernsbach</v>
      </c>
      <c r="AG531" t="str">
        <f>TRIM(MID(AF531, FIND(", ", AF531)+2, FIND(", ", AF531, FIND(", ", AF531)+1) - FIND(", ", AF531) - 2))</f>
        <v>Forchtenberger Str. 25</v>
      </c>
      <c r="AH531" t="str">
        <f>_xlfn.TEXTBEFORE(_xlfn.TEXTAFTER(AF531, ", ", 2), " ")</f>
        <v>74670</v>
      </c>
      <c r="AI531" t="str">
        <f>_xlfn.TEXTAFTER(_xlfn.TEXTAFTER(AF531, ", ", 2), " ")</f>
        <v>Forchtenberg-Ernsbach</v>
      </c>
    </row>
    <row r="532" spans="1:35" x14ac:dyDescent="0.2">
      <c r="A532" t="str">
        <f>B532&amp;C532&amp;H532&amp;N532</f>
        <v>35001560TSV ZweiflingenE-Junioren1</v>
      </c>
      <c r="B532" t="s">
        <v>794</v>
      </c>
      <c r="C532" t="s">
        <v>795</v>
      </c>
      <c r="D532" t="s">
        <v>66</v>
      </c>
      <c r="E532" t="s">
        <v>35</v>
      </c>
      <c r="F532" t="s">
        <v>50</v>
      </c>
      <c r="G532">
        <v>3</v>
      </c>
      <c r="H532" t="s">
        <v>1112</v>
      </c>
      <c r="I532" t="s">
        <v>114</v>
      </c>
      <c r="J532" t="s">
        <v>1269</v>
      </c>
      <c r="K532" t="s">
        <v>1288</v>
      </c>
      <c r="L532" t="s">
        <v>1409</v>
      </c>
      <c r="M532">
        <v>8</v>
      </c>
      <c r="N532">
        <v>1</v>
      </c>
      <c r="O532" t="s">
        <v>1298</v>
      </c>
      <c r="P532" t="s">
        <v>40</v>
      </c>
      <c r="Q532" t="s">
        <v>53</v>
      </c>
      <c r="R532" t="s">
        <v>1094</v>
      </c>
      <c r="S532" t="s">
        <v>1115</v>
      </c>
      <c r="T532" t="s">
        <v>837</v>
      </c>
      <c r="U532" t="s">
        <v>118</v>
      </c>
      <c r="V532" t="s">
        <v>43</v>
      </c>
      <c r="W532" t="s">
        <v>43</v>
      </c>
      <c r="X532" t="s">
        <v>1292</v>
      </c>
      <c r="Y532" s="4" t="s">
        <v>1299</v>
      </c>
      <c r="Z532" t="s">
        <v>45</v>
      </c>
      <c r="AA532" t="s">
        <v>797</v>
      </c>
      <c r="AB532" t="s">
        <v>43</v>
      </c>
      <c r="AC532" t="s">
        <v>43</v>
      </c>
      <c r="AD532" t="s">
        <v>43</v>
      </c>
      <c r="AE532" t="s">
        <v>43</v>
      </c>
      <c r="AF532" t="str">
        <f>AA532</f>
        <v>Sportplatz 1 TSV Zweiflingen, Bei der Sporthalle, 74639 Zweiflingen</v>
      </c>
      <c r="AG532" t="str">
        <f>TRIM(MID(AF532, FIND(", ", AF532)+2, FIND(", ", AF532, FIND(", ", AF532)+1) - FIND(", ", AF532) - 2))</f>
        <v>Bei der Sporthalle</v>
      </c>
      <c r="AH532" t="str">
        <f>_xlfn.TEXTBEFORE(_xlfn.TEXTAFTER(AF532, ", ", 2), " ")</f>
        <v>74639</v>
      </c>
      <c r="AI532" t="str">
        <f>_xlfn.TEXTAFTER(_xlfn.TEXTAFTER(AF532, ", ", 2), " ")</f>
        <v>Zweiflingen</v>
      </c>
    </row>
    <row r="533" spans="1:35" x14ac:dyDescent="0.2">
      <c r="A533" t="str">
        <f>B533&amp;C533&amp;H533&amp;N533</f>
        <v>35000443SSV GaisbachE-Junioren1</v>
      </c>
      <c r="B533" t="s">
        <v>617</v>
      </c>
      <c r="C533" t="s">
        <v>618</v>
      </c>
      <c r="D533" t="s">
        <v>49</v>
      </c>
      <c r="E533" t="s">
        <v>35</v>
      </c>
      <c r="F533" t="s">
        <v>50</v>
      </c>
      <c r="G533">
        <v>3</v>
      </c>
      <c r="H533" t="s">
        <v>1112</v>
      </c>
      <c r="I533" t="s">
        <v>114</v>
      </c>
      <c r="J533" t="s">
        <v>1269</v>
      </c>
      <c r="K533" t="s">
        <v>1288</v>
      </c>
      <c r="L533" t="s">
        <v>1409</v>
      </c>
      <c r="M533">
        <v>3</v>
      </c>
      <c r="N533">
        <v>1</v>
      </c>
      <c r="O533" t="s">
        <v>1300</v>
      </c>
      <c r="P533" t="s">
        <v>40</v>
      </c>
      <c r="Q533" t="s">
        <v>53</v>
      </c>
      <c r="R533" t="s">
        <v>1094</v>
      </c>
      <c r="S533" t="s">
        <v>1115</v>
      </c>
      <c r="T533" t="s">
        <v>837</v>
      </c>
      <c r="U533" t="s">
        <v>118</v>
      </c>
      <c r="V533" t="s">
        <v>43</v>
      </c>
      <c r="W533" t="s">
        <v>43</v>
      </c>
      <c r="Y533" t="s">
        <v>43</v>
      </c>
      <c r="Z533" t="s">
        <v>45</v>
      </c>
      <c r="AA533" t="s">
        <v>424</v>
      </c>
      <c r="AB533" t="s">
        <v>43</v>
      </c>
      <c r="AC533" t="s">
        <v>43</v>
      </c>
      <c r="AD533" t="s">
        <v>43</v>
      </c>
      <c r="AE533" t="s">
        <v>43</v>
      </c>
      <c r="AF533" t="str">
        <f>AA533</f>
        <v>Rasenplatz SSV Gaisbach, Ballenwasen 4, 74653 Künzelsau-Gaisbach</v>
      </c>
      <c r="AG533" t="str">
        <f>TRIM(MID(AF533, FIND(", ", AF533)+2, FIND(", ", AF533, FIND(", ", AF533)+1) - FIND(", ", AF533) - 2))</f>
        <v>Ballenwasen 4</v>
      </c>
      <c r="AH533" t="str">
        <f>_xlfn.TEXTBEFORE(_xlfn.TEXTAFTER(AF533, ", ", 2), " ")</f>
        <v>74653</v>
      </c>
      <c r="AI533" t="str">
        <f>_xlfn.TEXTAFTER(_xlfn.TEXTAFTER(AF533, ", ", 2), " ")</f>
        <v>Künzelsau-Gaisbach</v>
      </c>
    </row>
    <row r="534" spans="1:35" x14ac:dyDescent="0.2">
      <c r="A534" t="str">
        <f>B534&amp;C534&amp;H534&amp;N534</f>
        <v>35000671TSV IngelfingenE-Junioren1</v>
      </c>
      <c r="B534" t="s">
        <v>421</v>
      </c>
      <c r="C534" t="s">
        <v>422</v>
      </c>
      <c r="D534" t="s">
        <v>49</v>
      </c>
      <c r="E534" t="s">
        <v>35</v>
      </c>
      <c r="F534" t="s">
        <v>50</v>
      </c>
      <c r="G534">
        <v>3</v>
      </c>
      <c r="H534" t="s">
        <v>1112</v>
      </c>
      <c r="I534" t="s">
        <v>114</v>
      </c>
      <c r="J534" t="s">
        <v>1269</v>
      </c>
      <c r="K534" t="s">
        <v>1288</v>
      </c>
      <c r="L534" t="s">
        <v>1409</v>
      </c>
      <c r="M534">
        <v>7</v>
      </c>
      <c r="N534">
        <v>1</v>
      </c>
      <c r="O534" t="s">
        <v>1295</v>
      </c>
      <c r="P534" t="s">
        <v>40</v>
      </c>
      <c r="Q534" t="s">
        <v>53</v>
      </c>
      <c r="R534" t="s">
        <v>1094</v>
      </c>
      <c r="S534" t="s">
        <v>1115</v>
      </c>
      <c r="T534" t="s">
        <v>837</v>
      </c>
      <c r="U534" t="s">
        <v>118</v>
      </c>
      <c r="V534" t="s">
        <v>43</v>
      </c>
      <c r="W534" t="s">
        <v>43</v>
      </c>
      <c r="X534" t="s">
        <v>1118</v>
      </c>
      <c r="Y534" s="4" t="s">
        <v>1296</v>
      </c>
      <c r="Z534" t="s">
        <v>45</v>
      </c>
      <c r="AA534" t="s">
        <v>1297</v>
      </c>
      <c r="AB534" t="s">
        <v>43</v>
      </c>
      <c r="AC534" t="s">
        <v>43</v>
      </c>
      <c r="AD534" t="s">
        <v>43</v>
      </c>
      <c r="AE534" t="s">
        <v>43</v>
      </c>
      <c r="AF534" t="str">
        <f>AA534</f>
        <v>Sportplatz am Kocher, Nagelsberg, Würzburger Str. 44, 74653 Künzelsau-Nagelsberg</v>
      </c>
      <c r="AG534" t="str">
        <f>_xlfn.TEXTBEFORE(_xlfn.TEXTAFTER(AF534, ", ", 2), ",")</f>
        <v>Würzburger Str. 44</v>
      </c>
      <c r="AH534" t="str">
        <f>_xlfn.TEXTBEFORE(_xlfn.TEXTAFTER(AF534, ", ", 3), " ")</f>
        <v>74653</v>
      </c>
      <c r="AI534" t="str">
        <f>_xlfn.TEXTAFTER(_xlfn.TEXTAFTER(AF534, ", ", 3), " ")</f>
        <v>Künzelsau-Nagelsberg</v>
      </c>
    </row>
    <row r="535" spans="1:35" x14ac:dyDescent="0.2">
      <c r="A535" t="str">
        <f>B535&amp;C535&amp;H535&amp;N535</f>
        <v>35000886SV MulfingenE-Junioren1</v>
      </c>
      <c r="B535" t="s">
        <v>778</v>
      </c>
      <c r="C535" t="s">
        <v>779</v>
      </c>
      <c r="D535" t="s">
        <v>49</v>
      </c>
      <c r="E535" t="s">
        <v>35</v>
      </c>
      <c r="F535" t="s">
        <v>50</v>
      </c>
      <c r="G535">
        <v>3</v>
      </c>
      <c r="H535" t="s">
        <v>1112</v>
      </c>
      <c r="I535" t="s">
        <v>114</v>
      </c>
      <c r="J535" t="s">
        <v>1269</v>
      </c>
      <c r="K535" t="s">
        <v>1301</v>
      </c>
      <c r="L535" t="s">
        <v>1410</v>
      </c>
      <c r="M535">
        <v>7</v>
      </c>
      <c r="N535">
        <v>1</v>
      </c>
      <c r="O535" t="s">
        <v>779</v>
      </c>
      <c r="P535" t="s">
        <v>40</v>
      </c>
      <c r="Q535" t="s">
        <v>53</v>
      </c>
      <c r="R535" t="s">
        <v>1094</v>
      </c>
      <c r="S535" t="s">
        <v>1115</v>
      </c>
      <c r="T535" t="s">
        <v>837</v>
      </c>
      <c r="U535" t="s">
        <v>118</v>
      </c>
      <c r="V535" t="s">
        <v>43</v>
      </c>
      <c r="W535" t="s">
        <v>43</v>
      </c>
      <c r="Y535" t="s">
        <v>43</v>
      </c>
      <c r="Z535" t="s">
        <v>45</v>
      </c>
      <c r="AA535" t="s">
        <v>781</v>
      </c>
      <c r="AB535" t="s">
        <v>43</v>
      </c>
      <c r="AC535" t="s">
        <v>43</v>
      </c>
      <c r="AD535" t="s">
        <v>43</v>
      </c>
      <c r="AE535" t="s">
        <v>43</v>
      </c>
      <c r="AF535" t="str">
        <f>AA535</f>
        <v>Kunstrasenplatz Mulfingen am Vereinsheim, Bachgasse 94, 74673 Mulfingen-Zentrum</v>
      </c>
      <c r="AG535" t="str">
        <f>TRIM(MID(AF535, FIND(", ", AF535)+2, FIND(", ", AF535, FIND(", ", AF535)+1) - FIND(", ", AF535) - 2))</f>
        <v>Bachgasse 94</v>
      </c>
      <c r="AH535" t="str">
        <f>_xlfn.TEXTBEFORE(_xlfn.TEXTAFTER(AF535, ", ", 2), " ")</f>
        <v>74673</v>
      </c>
      <c r="AI535" t="str">
        <f>_xlfn.TEXTAFTER(_xlfn.TEXTAFTER(AF535, ", ", 2), " ")</f>
        <v>Mulfingen-Zentrum</v>
      </c>
    </row>
    <row r="536" spans="1:35" x14ac:dyDescent="0.2">
      <c r="A536" t="str">
        <f>B536&amp;C536&amp;H536&amp;N536</f>
        <v>350006591. FC IgersheimE-Junioren2</v>
      </c>
      <c r="B536" t="s">
        <v>408</v>
      </c>
      <c r="C536" t="s">
        <v>409</v>
      </c>
      <c r="D536" t="s">
        <v>204</v>
      </c>
      <c r="E536" t="s">
        <v>35</v>
      </c>
      <c r="F536" t="s">
        <v>50</v>
      </c>
      <c r="G536">
        <v>3</v>
      </c>
      <c r="H536" t="s">
        <v>1112</v>
      </c>
      <c r="I536" t="s">
        <v>114</v>
      </c>
      <c r="J536" t="s">
        <v>1269</v>
      </c>
      <c r="K536" t="s">
        <v>1301</v>
      </c>
      <c r="L536" t="s">
        <v>1410</v>
      </c>
      <c r="M536">
        <v>3</v>
      </c>
      <c r="N536">
        <v>2</v>
      </c>
      <c r="O536" t="s">
        <v>1302</v>
      </c>
      <c r="P536" t="s">
        <v>40</v>
      </c>
      <c r="Q536" t="s">
        <v>53</v>
      </c>
      <c r="R536" t="s">
        <v>1094</v>
      </c>
      <c r="S536" t="s">
        <v>1115</v>
      </c>
      <c r="T536" t="s">
        <v>837</v>
      </c>
      <c r="U536" t="s">
        <v>226</v>
      </c>
      <c r="V536" t="s">
        <v>43</v>
      </c>
      <c r="W536" t="s">
        <v>43</v>
      </c>
      <c r="Y536" t="s">
        <v>43</v>
      </c>
      <c r="Z536" t="s">
        <v>45</v>
      </c>
      <c r="AA536" t="s">
        <v>206</v>
      </c>
      <c r="AB536" t="s">
        <v>43</v>
      </c>
      <c r="AC536" t="s">
        <v>43</v>
      </c>
      <c r="AD536" t="s">
        <v>43</v>
      </c>
      <c r="AE536" t="s">
        <v>43</v>
      </c>
      <c r="AF536" t="str">
        <f>AA536</f>
        <v>Sportplatz an der Erlenbachtalhalle Igersheim, Erlenbachtalstr., 97999 Igersheim-Zentrum</v>
      </c>
      <c r="AG536" t="str">
        <f>TRIM(MID(AF536, FIND(", ", AF536)+2, FIND(", ", AF536, FIND(", ", AF536)+1) - FIND(", ", AF536) - 2))</f>
        <v>Erlenbachtalstr.</v>
      </c>
      <c r="AH536" t="str">
        <f>_xlfn.TEXTBEFORE(_xlfn.TEXTAFTER(AF536, ", ", 2), " ")</f>
        <v>97999</v>
      </c>
      <c r="AI536" t="str">
        <f>_xlfn.TEXTAFTER(_xlfn.TEXTAFTER(AF536, ", ", 2), " ")</f>
        <v>Igersheim-Zentrum</v>
      </c>
    </row>
    <row r="537" spans="1:35" x14ac:dyDescent="0.2">
      <c r="A537" t="str">
        <f>B537&amp;C537&amp;H537&amp;N537</f>
        <v>35000846VfB Bad MergentheimE-Junioren1</v>
      </c>
      <c r="B537" t="s">
        <v>202</v>
      </c>
      <c r="C537" t="s">
        <v>203</v>
      </c>
      <c r="D537" t="s">
        <v>204</v>
      </c>
      <c r="E537" t="s">
        <v>35</v>
      </c>
      <c r="F537" t="s">
        <v>50</v>
      </c>
      <c r="G537">
        <v>3</v>
      </c>
      <c r="H537" t="s">
        <v>1112</v>
      </c>
      <c r="I537" t="s">
        <v>114</v>
      </c>
      <c r="J537" t="s">
        <v>1269</v>
      </c>
      <c r="K537" t="s">
        <v>1301</v>
      </c>
      <c r="L537" t="s">
        <v>1410</v>
      </c>
      <c r="M537">
        <v>2</v>
      </c>
      <c r="N537">
        <v>1</v>
      </c>
      <c r="O537" t="s">
        <v>920</v>
      </c>
      <c r="P537" t="s">
        <v>40</v>
      </c>
      <c r="Q537" t="s">
        <v>53</v>
      </c>
      <c r="R537" t="s">
        <v>1094</v>
      </c>
      <c r="S537" t="s">
        <v>1115</v>
      </c>
      <c r="T537" t="s">
        <v>837</v>
      </c>
      <c r="U537" t="s">
        <v>118</v>
      </c>
      <c r="V537" t="s">
        <v>43</v>
      </c>
      <c r="W537" t="s">
        <v>43</v>
      </c>
      <c r="Y537" t="s">
        <v>43</v>
      </c>
      <c r="Z537" t="s">
        <v>45</v>
      </c>
      <c r="AA537" t="s">
        <v>445</v>
      </c>
      <c r="AB537" t="s">
        <v>43</v>
      </c>
      <c r="AC537" t="s">
        <v>43</v>
      </c>
      <c r="AD537" t="s">
        <v>43</v>
      </c>
      <c r="AE537" t="s">
        <v>43</v>
      </c>
      <c r="AF537" t="str">
        <f>AA537</f>
        <v>Nebenplatz am Stadion, Arkau 3, 97980 Bad Mergentheim</v>
      </c>
      <c r="AG537" t="str">
        <f>TRIM(MID(AF537, FIND(", ", AF537)+2, FIND(", ", AF537, FIND(", ", AF537)+1) - FIND(", ", AF537) - 2))</f>
        <v>Arkau 3</v>
      </c>
      <c r="AH537" t="str">
        <f>_xlfn.TEXTBEFORE(_xlfn.TEXTAFTER(AF537, ", ", 2), " ")</f>
        <v>97980</v>
      </c>
      <c r="AI537" t="str">
        <f>_xlfn.TEXTAFTER(_xlfn.TEXTAFTER(AF537, ", ", 2), " ")</f>
        <v>Bad Mergentheim</v>
      </c>
    </row>
    <row r="538" spans="1:35" x14ac:dyDescent="0.2">
      <c r="A538" t="str">
        <f>B538&amp;C538&amp;H538&amp;N538</f>
        <v>35000946TV NiederstettenE-Junioren1</v>
      </c>
      <c r="B538" t="s">
        <v>329</v>
      </c>
      <c r="C538" t="s">
        <v>330</v>
      </c>
      <c r="D538" t="s">
        <v>204</v>
      </c>
      <c r="E538" t="s">
        <v>35</v>
      </c>
      <c r="F538" t="s">
        <v>50</v>
      </c>
      <c r="G538">
        <v>3</v>
      </c>
      <c r="H538" t="s">
        <v>1112</v>
      </c>
      <c r="I538" t="s">
        <v>114</v>
      </c>
      <c r="J538" t="s">
        <v>1269</v>
      </c>
      <c r="K538" t="s">
        <v>1301</v>
      </c>
      <c r="L538" t="s">
        <v>1410</v>
      </c>
      <c r="M538">
        <v>4</v>
      </c>
      <c r="N538">
        <v>1</v>
      </c>
      <c r="O538" t="s">
        <v>330</v>
      </c>
      <c r="P538" t="s">
        <v>40</v>
      </c>
      <c r="Q538" t="s">
        <v>53</v>
      </c>
      <c r="R538" t="s">
        <v>1094</v>
      </c>
      <c r="S538" t="s">
        <v>1115</v>
      </c>
      <c r="T538" t="s">
        <v>837</v>
      </c>
      <c r="U538" t="s">
        <v>118</v>
      </c>
      <c r="V538" t="s">
        <v>43</v>
      </c>
      <c r="W538" t="s">
        <v>43</v>
      </c>
      <c r="Y538" t="s">
        <v>43</v>
      </c>
      <c r="Z538" t="s">
        <v>45</v>
      </c>
      <c r="AA538" t="s">
        <v>333</v>
      </c>
      <c r="AB538" t="s">
        <v>43</v>
      </c>
      <c r="AC538" t="s">
        <v>43</v>
      </c>
      <c r="AD538" t="s">
        <v>43</v>
      </c>
      <c r="AE538" t="s">
        <v>43</v>
      </c>
      <c r="AF538" t="str">
        <f>AA538</f>
        <v>Burgwiesenstadion, Kanalweg, 97996 Niederstetten-Zentrum</v>
      </c>
      <c r="AG538" t="str">
        <f>TRIM(MID(AF538, FIND(", ", AF538)+2, FIND(", ", AF538, FIND(", ", AF538)+1) - FIND(", ", AF538) - 2))</f>
        <v>Kanalweg</v>
      </c>
      <c r="AH538" t="str">
        <f>_xlfn.TEXTBEFORE(_xlfn.TEXTAFTER(AF538, ", ", 2), " ")</f>
        <v>97996</v>
      </c>
      <c r="AI538" t="str">
        <f>_xlfn.TEXTAFTER(_xlfn.TEXTAFTER(AF538, ", ", 2), " ")</f>
        <v>Niederstetten-Zentrum</v>
      </c>
    </row>
    <row r="539" spans="1:35" x14ac:dyDescent="0.2">
      <c r="A539" t="str">
        <f>B539&amp;C539&amp;H539&amp;N539</f>
        <v>35001110TSV RöttingenE-Junioren1</v>
      </c>
      <c r="B539" t="s">
        <v>1303</v>
      </c>
      <c r="C539" t="s">
        <v>1304</v>
      </c>
      <c r="D539" t="s">
        <v>204</v>
      </c>
      <c r="E539" t="s">
        <v>35</v>
      </c>
      <c r="F539" t="s">
        <v>50</v>
      </c>
      <c r="G539">
        <v>3</v>
      </c>
      <c r="H539" t="s">
        <v>1112</v>
      </c>
      <c r="I539" t="s">
        <v>114</v>
      </c>
      <c r="J539" t="s">
        <v>1269</v>
      </c>
      <c r="K539" t="s">
        <v>1301</v>
      </c>
      <c r="L539" t="s">
        <v>1410</v>
      </c>
      <c r="M539">
        <v>5</v>
      </c>
      <c r="N539">
        <v>1</v>
      </c>
      <c r="O539" t="s">
        <v>1305</v>
      </c>
      <c r="P539" t="s">
        <v>40</v>
      </c>
      <c r="Q539" t="s">
        <v>53</v>
      </c>
      <c r="R539" t="s">
        <v>1094</v>
      </c>
      <c r="S539" t="s">
        <v>1115</v>
      </c>
      <c r="T539" t="s">
        <v>837</v>
      </c>
      <c r="U539" t="s">
        <v>118</v>
      </c>
      <c r="V539" t="s">
        <v>43</v>
      </c>
      <c r="W539" t="s">
        <v>43</v>
      </c>
      <c r="Y539" t="s">
        <v>43</v>
      </c>
      <c r="Z539" t="s">
        <v>45</v>
      </c>
      <c r="AA539" t="s">
        <v>1306</v>
      </c>
      <c r="AB539" t="s">
        <v>43</v>
      </c>
      <c r="AC539" t="s">
        <v>43</v>
      </c>
      <c r="AD539" t="s">
        <v>43</v>
      </c>
      <c r="AE539" t="s">
        <v>43</v>
      </c>
      <c r="AF539" t="str">
        <f>AA539</f>
        <v>Sportplatz 1, TSV Röttingen, Industriestr., 97285 Röttingen-Zentrum</v>
      </c>
      <c r="AG539" t="str">
        <f>_xlfn.TEXTBEFORE(_xlfn.TEXTAFTER(AF539, ", ", 2), ",")</f>
        <v>Industriestr.</v>
      </c>
      <c r="AH539" t="str">
        <f>_xlfn.TEXTBEFORE(_xlfn.TEXTAFTER(AF539, ", ", 3), " ")</f>
        <v>97285</v>
      </c>
      <c r="AI539" t="str">
        <f>_xlfn.TEXTAFTER(_xlfn.TEXTAFTER(AF539, ", ", 3), " ")</f>
        <v>Röttingen-Zentrum</v>
      </c>
    </row>
    <row r="540" spans="1:35" x14ac:dyDescent="0.2">
      <c r="A540" t="str">
        <f>B540&amp;C540&amp;H540&amp;N540</f>
        <v>35001441SV WachbachE-Junioren2</v>
      </c>
      <c r="B540" t="s">
        <v>558</v>
      </c>
      <c r="C540" t="s">
        <v>559</v>
      </c>
      <c r="D540" t="s">
        <v>204</v>
      </c>
      <c r="E540" t="s">
        <v>35</v>
      </c>
      <c r="F540" t="s">
        <v>50</v>
      </c>
      <c r="G540">
        <v>3</v>
      </c>
      <c r="H540" t="s">
        <v>1112</v>
      </c>
      <c r="I540" t="s">
        <v>114</v>
      </c>
      <c r="J540" t="s">
        <v>1269</v>
      </c>
      <c r="K540" t="s">
        <v>1301</v>
      </c>
      <c r="L540" t="s">
        <v>1410</v>
      </c>
      <c r="M540">
        <v>8</v>
      </c>
      <c r="N540">
        <v>2</v>
      </c>
      <c r="O540" t="s">
        <v>1307</v>
      </c>
      <c r="P540" t="s">
        <v>40</v>
      </c>
      <c r="Q540" t="s">
        <v>53</v>
      </c>
      <c r="R540" t="s">
        <v>1094</v>
      </c>
      <c r="S540" t="s">
        <v>1115</v>
      </c>
      <c r="T540" t="s">
        <v>837</v>
      </c>
      <c r="U540" t="s">
        <v>226</v>
      </c>
      <c r="V540" t="s">
        <v>43</v>
      </c>
      <c r="W540" t="s">
        <v>43</v>
      </c>
      <c r="Y540" t="s">
        <v>43</v>
      </c>
      <c r="Z540" t="s">
        <v>45</v>
      </c>
      <c r="AA540" t="s">
        <v>562</v>
      </c>
      <c r="AB540" t="s">
        <v>194</v>
      </c>
      <c r="AC540" t="s">
        <v>1308</v>
      </c>
      <c r="AD540" t="s">
        <v>43</v>
      </c>
      <c r="AE540" t="s">
        <v>43</v>
      </c>
      <c r="AF540" t="str">
        <f>AC540</f>
        <v>Sportplatz 1 Neunkirchen, Im Wolfental, 97980 Bad Mergentheim-Neunkirchen</v>
      </c>
      <c r="AG540" t="str">
        <f>TRIM(MID(AF540, FIND(", ", AF540)+2, FIND(", ", AF540, FIND(", ", AF540)+1) - FIND(", ", AF540) - 2))</f>
        <v>Im Wolfental</v>
      </c>
      <c r="AH540" t="str">
        <f>_xlfn.TEXTBEFORE(_xlfn.TEXTAFTER(AF540, ", ", 2), " ")</f>
        <v>97980</v>
      </c>
      <c r="AI540" t="str">
        <f>_xlfn.TEXTAFTER(_xlfn.TEXTAFTER(AF540, ", ", 2), " ")</f>
        <v>Bad Mergentheim-Neunkirchen</v>
      </c>
    </row>
    <row r="541" spans="1:35" x14ac:dyDescent="0.2">
      <c r="A541" t="str">
        <f>B541&amp;C541&amp;H541&amp;N541</f>
        <v>35001478TSV WeikersheimE-Junioren2</v>
      </c>
      <c r="B541" t="s">
        <v>325</v>
      </c>
      <c r="C541" t="s">
        <v>326</v>
      </c>
      <c r="D541" t="s">
        <v>204</v>
      </c>
      <c r="E541" t="s">
        <v>35</v>
      </c>
      <c r="F541" t="s">
        <v>50</v>
      </c>
      <c r="G541">
        <v>3</v>
      </c>
      <c r="H541" t="s">
        <v>1112</v>
      </c>
      <c r="I541" t="s">
        <v>114</v>
      </c>
      <c r="J541" t="s">
        <v>1269</v>
      </c>
      <c r="K541" t="s">
        <v>1301</v>
      </c>
      <c r="L541" t="s">
        <v>1410</v>
      </c>
      <c r="M541">
        <v>6</v>
      </c>
      <c r="N541">
        <v>2</v>
      </c>
      <c r="O541" t="s">
        <v>1067</v>
      </c>
      <c r="P541" t="s">
        <v>40</v>
      </c>
      <c r="Q541" t="s">
        <v>53</v>
      </c>
      <c r="R541" t="s">
        <v>1094</v>
      </c>
      <c r="S541" t="s">
        <v>1115</v>
      </c>
      <c r="T541" t="s">
        <v>837</v>
      </c>
      <c r="U541" t="s">
        <v>226</v>
      </c>
      <c r="V541" t="s">
        <v>43</v>
      </c>
      <c r="W541" t="s">
        <v>43</v>
      </c>
      <c r="Y541" t="s">
        <v>43</v>
      </c>
      <c r="Z541" t="s">
        <v>45</v>
      </c>
      <c r="AA541" t="s">
        <v>1309</v>
      </c>
      <c r="AB541" t="s">
        <v>95</v>
      </c>
      <c r="AC541" t="s">
        <v>824</v>
      </c>
      <c r="AD541" t="s">
        <v>43</v>
      </c>
      <c r="AE541" t="s">
        <v>43</v>
      </c>
      <c r="AF541" t="str">
        <f>AC541</f>
        <v>Sportplatz 1 Markelsheim, Unterer Wasen 5, 97980 Bad Mergentheim-Markelsheim</v>
      </c>
      <c r="AG541" t="str">
        <f>TRIM(MID(AF541, FIND(", ", AF541)+2, FIND(", ", AF541, FIND(", ", AF541)+1) - FIND(", ", AF541) - 2))</f>
        <v>Unterer Wasen 5</v>
      </c>
      <c r="AH541" t="str">
        <f>_xlfn.TEXTBEFORE(_xlfn.TEXTAFTER(AF541, ", ", 2), " ")</f>
        <v>97980</v>
      </c>
      <c r="AI541" t="str">
        <f>_xlfn.TEXTAFTER(_xlfn.TEXTAFTER(AF541, ", ", 2), " ")</f>
        <v>Bad Mergentheim-Markelsheim</v>
      </c>
    </row>
    <row r="542" spans="1:35" x14ac:dyDescent="0.2">
      <c r="A542" t="str">
        <f>B542&amp;C542&amp;H542&amp;N542</f>
        <v>35000212TSG Bretzfeld-RappachE-Junioren1</v>
      </c>
      <c r="B542" t="s">
        <v>937</v>
      </c>
      <c r="C542" t="s">
        <v>938</v>
      </c>
      <c r="D542" t="s">
        <v>66</v>
      </c>
      <c r="E542" t="s">
        <v>35</v>
      </c>
      <c r="F542" t="s">
        <v>50</v>
      </c>
      <c r="G542">
        <v>3</v>
      </c>
      <c r="H542" t="s">
        <v>1112</v>
      </c>
      <c r="I542" t="s">
        <v>114</v>
      </c>
      <c r="J542" t="s">
        <v>1269</v>
      </c>
      <c r="K542" t="s">
        <v>1310</v>
      </c>
      <c r="L542" t="s">
        <v>1411</v>
      </c>
      <c r="M542">
        <v>4</v>
      </c>
      <c r="N542">
        <v>1</v>
      </c>
      <c r="O542" t="s">
        <v>938</v>
      </c>
      <c r="P542" t="s">
        <v>40</v>
      </c>
      <c r="Q542" t="s">
        <v>53</v>
      </c>
      <c r="R542" t="s">
        <v>1094</v>
      </c>
      <c r="S542" t="s">
        <v>1115</v>
      </c>
      <c r="T542" t="s">
        <v>837</v>
      </c>
      <c r="U542" t="s">
        <v>118</v>
      </c>
      <c r="V542" t="s">
        <v>43</v>
      </c>
      <c r="W542" t="s">
        <v>43</v>
      </c>
      <c r="Y542" t="s">
        <v>1315</v>
      </c>
      <c r="Z542" t="s">
        <v>45</v>
      </c>
      <c r="AA542" t="s">
        <v>940</v>
      </c>
      <c r="AB542" t="s">
        <v>43</v>
      </c>
      <c r="AC542" t="s">
        <v>43</v>
      </c>
      <c r="AD542" t="s">
        <v>43</v>
      </c>
      <c r="AE542" t="s">
        <v>43</v>
      </c>
      <c r="AF542" t="str">
        <f>AA542</f>
        <v>Stadion TSG Bretzfeld/Rappach, Einsteinstr. 19, 74626 Bretzfeld-Zentrum</v>
      </c>
      <c r="AG542" t="str">
        <f>TRIM(MID(AF542, FIND(", ", AF542)+2, FIND(", ", AF542, FIND(", ", AF542)+1) - FIND(", ", AF542) - 2))</f>
        <v>Einsteinstr. 19</v>
      </c>
      <c r="AH542" t="str">
        <f>_xlfn.TEXTBEFORE(_xlfn.TEXTAFTER(AF542, ", ", 2), " ")</f>
        <v>74626</v>
      </c>
      <c r="AI542" t="str">
        <f>_xlfn.TEXTAFTER(_xlfn.TEXTAFTER(AF542, ", ", 2), " ")</f>
        <v>Bretzfeld-Zentrum</v>
      </c>
    </row>
    <row r="543" spans="1:35" x14ac:dyDescent="0.2">
      <c r="A543" t="str">
        <f>B543&amp;C543&amp;H543&amp;N543</f>
        <v>35000749TSV KupferzellE-Junioren1</v>
      </c>
      <c r="B543" t="s">
        <v>190</v>
      </c>
      <c r="C543" t="s">
        <v>191</v>
      </c>
      <c r="D543" t="s">
        <v>66</v>
      </c>
      <c r="E543" t="s">
        <v>35</v>
      </c>
      <c r="F543" t="s">
        <v>50</v>
      </c>
      <c r="G543">
        <v>3</v>
      </c>
      <c r="H543" t="s">
        <v>1112</v>
      </c>
      <c r="I543" t="s">
        <v>114</v>
      </c>
      <c r="J543" t="s">
        <v>1269</v>
      </c>
      <c r="K543" t="s">
        <v>1310</v>
      </c>
      <c r="L543" t="s">
        <v>1411</v>
      </c>
      <c r="M543">
        <v>2</v>
      </c>
      <c r="N543">
        <v>1</v>
      </c>
      <c r="O543" t="s">
        <v>1316</v>
      </c>
      <c r="P543" t="s">
        <v>40</v>
      </c>
      <c r="Q543" t="s">
        <v>53</v>
      </c>
      <c r="R543" t="s">
        <v>1094</v>
      </c>
      <c r="S543" t="s">
        <v>1115</v>
      </c>
      <c r="T543" t="s">
        <v>837</v>
      </c>
      <c r="U543" t="s">
        <v>118</v>
      </c>
      <c r="V543" t="s">
        <v>43</v>
      </c>
      <c r="W543" t="s">
        <v>43</v>
      </c>
      <c r="Y543" t="s">
        <v>43</v>
      </c>
      <c r="Z543" t="s">
        <v>45</v>
      </c>
      <c r="AA543" t="s">
        <v>197</v>
      </c>
      <c r="AB543" t="s">
        <v>43</v>
      </c>
      <c r="AC543" t="s">
        <v>43</v>
      </c>
      <c r="AD543" t="s">
        <v>43</v>
      </c>
      <c r="AE543" t="s">
        <v>43</v>
      </c>
      <c r="AF543" t="str">
        <f>AA543</f>
        <v>Sportplatz 1 TSV Kupferzell, Neue Str. 29, 74635 Kupferzell-Zentrum</v>
      </c>
      <c r="AG543" t="str">
        <f>TRIM(MID(AF543, FIND(", ", AF543)+2, FIND(", ", AF543, FIND(", ", AF543)+1) - FIND(", ", AF543) - 2))</f>
        <v>Neue Str. 29</v>
      </c>
      <c r="AH543" t="str">
        <f>_xlfn.TEXTBEFORE(_xlfn.TEXTAFTER(AF543, ", ", 2), " ")</f>
        <v>74635</v>
      </c>
      <c r="AI543" t="str">
        <f>_xlfn.TEXTAFTER(_xlfn.TEXTAFTER(AF543, ", ", 2), " ")</f>
        <v>Kupferzell-Zentrum</v>
      </c>
    </row>
    <row r="544" spans="1:35" x14ac:dyDescent="0.2">
      <c r="A544" t="str">
        <f>B544&amp;C544&amp;H544&amp;N544</f>
        <v>35000853SC Michelbach/WaldE-Junioren1</v>
      </c>
      <c r="B544" t="s">
        <v>160</v>
      </c>
      <c r="C544" t="s">
        <v>161</v>
      </c>
      <c r="D544" t="s">
        <v>66</v>
      </c>
      <c r="E544" t="s">
        <v>35</v>
      </c>
      <c r="F544" t="s">
        <v>50</v>
      </c>
      <c r="G544">
        <v>3</v>
      </c>
      <c r="H544" t="s">
        <v>1112</v>
      </c>
      <c r="I544" t="s">
        <v>114</v>
      </c>
      <c r="J544" t="s">
        <v>1269</v>
      </c>
      <c r="K544" t="s">
        <v>1310</v>
      </c>
      <c r="L544" t="s">
        <v>1411</v>
      </c>
      <c r="M544">
        <v>3</v>
      </c>
      <c r="N544">
        <v>1</v>
      </c>
      <c r="O544" t="s">
        <v>1070</v>
      </c>
      <c r="P544" t="s">
        <v>40</v>
      </c>
      <c r="Q544" t="s">
        <v>53</v>
      </c>
      <c r="R544" t="s">
        <v>1094</v>
      </c>
      <c r="S544" t="s">
        <v>1115</v>
      </c>
      <c r="T544" t="s">
        <v>837</v>
      </c>
      <c r="U544" t="s">
        <v>118</v>
      </c>
      <c r="V544" t="s">
        <v>43</v>
      </c>
      <c r="W544" t="s">
        <v>43</v>
      </c>
      <c r="Y544" t="s">
        <v>43</v>
      </c>
      <c r="Z544" t="s">
        <v>45</v>
      </c>
      <c r="AA544" t="s">
        <v>498</v>
      </c>
      <c r="AB544" t="s">
        <v>43</v>
      </c>
      <c r="AC544" t="s">
        <v>43</v>
      </c>
      <c r="AD544" t="s">
        <v>43</v>
      </c>
      <c r="AE544" t="s">
        <v>43</v>
      </c>
      <c r="AF544" t="str">
        <f>AA544</f>
        <v>Kunstrasenplatz SC Michelbach/Wald, Keltergasse, 74613 Öhringen-Michelbach</v>
      </c>
      <c r="AG544" t="str">
        <f>TRIM(MID(AF544, FIND(", ", AF544)+2, FIND(", ", AF544, FIND(", ", AF544)+1) - FIND(", ", AF544) - 2))</f>
        <v>Keltergasse</v>
      </c>
      <c r="AH544" t="str">
        <f>_xlfn.TEXTBEFORE(_xlfn.TEXTAFTER(AF544, ", ", 2), " ")</f>
        <v>74613</v>
      </c>
      <c r="AI544" t="str">
        <f>_xlfn.TEXTAFTER(_xlfn.TEXTAFTER(AF544, ", ", 2), " ")</f>
        <v>Öhringen-Michelbach</v>
      </c>
    </row>
    <row r="545" spans="1:35" x14ac:dyDescent="0.2">
      <c r="A545" t="str">
        <f>B545&amp;C545&amp;H545&amp;N545</f>
        <v>35000924TSV NeuensteinE-Junioren1</v>
      </c>
      <c r="B545" t="s">
        <v>527</v>
      </c>
      <c r="C545" t="s">
        <v>528</v>
      </c>
      <c r="D545" t="s">
        <v>66</v>
      </c>
      <c r="E545" t="s">
        <v>35</v>
      </c>
      <c r="F545" t="s">
        <v>50</v>
      </c>
      <c r="G545">
        <v>3</v>
      </c>
      <c r="H545" t="s">
        <v>1112</v>
      </c>
      <c r="I545" t="s">
        <v>114</v>
      </c>
      <c r="J545" t="s">
        <v>1269</v>
      </c>
      <c r="K545" t="s">
        <v>1310</v>
      </c>
      <c r="L545" t="s">
        <v>1411</v>
      </c>
      <c r="M545">
        <v>5</v>
      </c>
      <c r="N545">
        <v>1</v>
      </c>
      <c r="O545" t="s">
        <v>918</v>
      </c>
      <c r="P545" t="s">
        <v>40</v>
      </c>
      <c r="Q545" t="s">
        <v>53</v>
      </c>
      <c r="R545" t="s">
        <v>1094</v>
      </c>
      <c r="S545" t="s">
        <v>1115</v>
      </c>
      <c r="T545" t="s">
        <v>837</v>
      </c>
      <c r="U545" t="s">
        <v>118</v>
      </c>
      <c r="V545" t="s">
        <v>43</v>
      </c>
      <c r="W545" t="s">
        <v>43</v>
      </c>
      <c r="Y545" t="s">
        <v>43</v>
      </c>
      <c r="Z545" t="s">
        <v>45</v>
      </c>
      <c r="AA545" t="s">
        <v>919</v>
      </c>
      <c r="AB545" t="s">
        <v>43</v>
      </c>
      <c r="AC545" t="s">
        <v>43</v>
      </c>
      <c r="AD545" t="s">
        <v>43</v>
      </c>
      <c r="AE545" t="s">
        <v>43</v>
      </c>
      <c r="AF545" t="str">
        <f>AA545</f>
        <v>Sportplatz 2 TSV Neuenstein, Öhringer Str., 74632 Neuenstein-Zentrum</v>
      </c>
      <c r="AG545" t="str">
        <f>TRIM(MID(AF545, FIND(", ", AF545)+2, FIND(", ", AF545, FIND(", ", AF545)+1) - FIND(", ", AF545) - 2))</f>
        <v>Öhringer Str.</v>
      </c>
      <c r="AH545" t="str">
        <f>_xlfn.TEXTBEFORE(_xlfn.TEXTAFTER(AF545, ", ", 2), " ")</f>
        <v>74632</v>
      </c>
      <c r="AI545" t="str">
        <f>_xlfn.TEXTAFTER(_xlfn.TEXTAFTER(AF545, ", ", 2), " ")</f>
        <v>Neuenstein-Zentrum</v>
      </c>
    </row>
    <row r="546" spans="1:35" x14ac:dyDescent="0.2">
      <c r="A546" t="str">
        <f>B546&amp;C546&amp;H546&amp;N546</f>
        <v>35001002TSG ÖhringenE-Junioren2</v>
      </c>
      <c r="B546" t="s">
        <v>64</v>
      </c>
      <c r="C546" t="s">
        <v>65</v>
      </c>
      <c r="D546" t="s">
        <v>66</v>
      </c>
      <c r="E546" t="s">
        <v>35</v>
      </c>
      <c r="F546" t="s">
        <v>50</v>
      </c>
      <c r="G546">
        <v>3</v>
      </c>
      <c r="H546" t="s">
        <v>1112</v>
      </c>
      <c r="I546" t="s">
        <v>114</v>
      </c>
      <c r="J546" t="s">
        <v>1269</v>
      </c>
      <c r="K546" t="s">
        <v>1310</v>
      </c>
      <c r="L546" t="s">
        <v>1411</v>
      </c>
      <c r="M546">
        <v>6</v>
      </c>
      <c r="N546">
        <v>2</v>
      </c>
      <c r="O546" t="s">
        <v>1082</v>
      </c>
      <c r="P546" t="s">
        <v>40</v>
      </c>
      <c r="Q546" t="s">
        <v>40</v>
      </c>
      <c r="R546" t="s">
        <v>1094</v>
      </c>
      <c r="S546" t="s">
        <v>1115</v>
      </c>
      <c r="T546" t="s">
        <v>837</v>
      </c>
      <c r="U546" t="s">
        <v>226</v>
      </c>
      <c r="V546" t="s">
        <v>43</v>
      </c>
      <c r="W546" t="s">
        <v>43</v>
      </c>
      <c r="Y546" t="s">
        <v>43</v>
      </c>
      <c r="Z546" t="s">
        <v>45</v>
      </c>
      <c r="AA546" t="s">
        <v>67</v>
      </c>
      <c r="AB546" t="s">
        <v>43</v>
      </c>
      <c r="AC546" t="s">
        <v>43</v>
      </c>
      <c r="AD546" t="s">
        <v>43</v>
      </c>
      <c r="AE546" t="s">
        <v>43</v>
      </c>
      <c r="AF546" t="str">
        <f>AA546</f>
        <v>Kunstrasenplatz TSG Öhringen, Pfaffenmühlweg 44, 74613 Öhringen-Zentrum</v>
      </c>
      <c r="AG546" t="str">
        <f>TRIM(MID(AF546, FIND(", ", AF546)+2, FIND(", ", AF546, FIND(", ", AF546)+1) - FIND(", ", AF546) - 2))</f>
        <v>Pfaffenmühlweg 44</v>
      </c>
      <c r="AH546" t="str">
        <f>_xlfn.TEXTBEFORE(_xlfn.TEXTAFTER(AF546, ", ", 2), " ")</f>
        <v>74613</v>
      </c>
      <c r="AI546" t="str">
        <f>_xlfn.TEXTAFTER(_xlfn.TEXTAFTER(AF546, ", ", 2), " ")</f>
        <v>Öhringen-Zentrum</v>
      </c>
    </row>
    <row r="547" spans="1:35" x14ac:dyDescent="0.2">
      <c r="A547" t="str">
        <f>B547&amp;C547&amp;H547&amp;N547</f>
        <v>35001163SG Sindringen/ErnsbachE-Junioren2</v>
      </c>
      <c r="B547" t="s">
        <v>1286</v>
      </c>
      <c r="C547" t="s">
        <v>1287</v>
      </c>
      <c r="D547" t="s">
        <v>66</v>
      </c>
      <c r="E547" t="s">
        <v>35</v>
      </c>
      <c r="F547" t="s">
        <v>50</v>
      </c>
      <c r="G547">
        <v>3</v>
      </c>
      <c r="H547" t="s">
        <v>1112</v>
      </c>
      <c r="I547" t="s">
        <v>114</v>
      </c>
      <c r="J547" t="s">
        <v>1269</v>
      </c>
      <c r="K547" t="s">
        <v>1310</v>
      </c>
      <c r="L547" t="s">
        <v>1411</v>
      </c>
      <c r="M547">
        <v>8</v>
      </c>
      <c r="N547">
        <v>2</v>
      </c>
      <c r="O547" t="s">
        <v>1312</v>
      </c>
      <c r="P547" t="s">
        <v>40</v>
      </c>
      <c r="Q547" t="s">
        <v>53</v>
      </c>
      <c r="R547" t="s">
        <v>1094</v>
      </c>
      <c r="S547" t="s">
        <v>1115</v>
      </c>
      <c r="T547" t="s">
        <v>837</v>
      </c>
      <c r="U547" t="s">
        <v>226</v>
      </c>
      <c r="V547" t="s">
        <v>43</v>
      </c>
      <c r="W547" t="s">
        <v>43</v>
      </c>
      <c r="X547" t="s">
        <v>1313</v>
      </c>
      <c r="Y547" s="4" t="s">
        <v>1314</v>
      </c>
      <c r="Z547" t="s">
        <v>45</v>
      </c>
      <c r="AA547" t="s">
        <v>534</v>
      </c>
      <c r="AB547" t="s">
        <v>43</v>
      </c>
      <c r="AC547" t="s">
        <v>43</v>
      </c>
      <c r="AD547" t="s">
        <v>43</v>
      </c>
      <c r="AE547" t="s">
        <v>43</v>
      </c>
      <c r="AF547" t="str">
        <f>AA547</f>
        <v>Sportplatz Niedernhall, Brückenwiesenweg, 74676 Niedernhall</v>
      </c>
      <c r="AG547" t="str">
        <f>TRIM(MID(AF547, FIND(", ", AF547)+2, FIND(", ", AF547, FIND(", ", AF547)+1) - FIND(", ", AF547) - 2))</f>
        <v>Brückenwiesenweg</v>
      </c>
      <c r="AH547" t="str">
        <f>_xlfn.TEXTBEFORE(_xlfn.TEXTAFTER(AF547, ", ", 2), " ")</f>
        <v>74676</v>
      </c>
      <c r="AI547" t="str">
        <f>_xlfn.TEXTAFTER(_xlfn.TEXTAFTER(AF547, ", ", 2), " ")</f>
        <v>Niedernhall</v>
      </c>
    </row>
    <row r="548" spans="1:35" x14ac:dyDescent="0.2">
      <c r="A548" t="str">
        <f>B548&amp;C548&amp;H548&amp;N548</f>
        <v>35002159FV KünzelsauE-Junioren1</v>
      </c>
      <c r="B548" t="s">
        <v>537</v>
      </c>
      <c r="C548" t="s">
        <v>538</v>
      </c>
      <c r="D548" t="s">
        <v>49</v>
      </c>
      <c r="E548" t="s">
        <v>35</v>
      </c>
      <c r="F548" t="s">
        <v>50</v>
      </c>
      <c r="G548">
        <v>3</v>
      </c>
      <c r="H548" t="s">
        <v>1112</v>
      </c>
      <c r="I548" t="s">
        <v>114</v>
      </c>
      <c r="J548" t="s">
        <v>1269</v>
      </c>
      <c r="K548" t="s">
        <v>1310</v>
      </c>
      <c r="L548" t="s">
        <v>1411</v>
      </c>
      <c r="M548">
        <v>7</v>
      </c>
      <c r="N548">
        <v>1</v>
      </c>
      <c r="O548" t="s">
        <v>967</v>
      </c>
      <c r="P548" t="s">
        <v>40</v>
      </c>
      <c r="Q548" t="s">
        <v>53</v>
      </c>
      <c r="R548" t="s">
        <v>1094</v>
      </c>
      <c r="S548" t="s">
        <v>1115</v>
      </c>
      <c r="T548" t="s">
        <v>837</v>
      </c>
      <c r="U548" t="s">
        <v>118</v>
      </c>
      <c r="V548" t="s">
        <v>43</v>
      </c>
      <c r="W548" t="s">
        <v>43</v>
      </c>
      <c r="Y548" t="s">
        <v>43</v>
      </c>
      <c r="Z548" t="s">
        <v>45</v>
      </c>
      <c r="AA548" t="s">
        <v>541</v>
      </c>
      <c r="AB548" t="s">
        <v>868</v>
      </c>
      <c r="AC548" t="s">
        <v>1311</v>
      </c>
      <c r="AD548" t="s">
        <v>43</v>
      </c>
      <c r="AE548" t="s">
        <v>43</v>
      </c>
      <c r="AF548" t="str">
        <f>AC548</f>
        <v>Sportplatz 1, FV Künzelsau, Hallstattweg 36, 74653 Künzelsau-Zentrum</v>
      </c>
      <c r="AG548" t="str">
        <f>_xlfn.TEXTBEFORE(_xlfn.TEXTAFTER(AF548, ", ", 2), ",")</f>
        <v>Hallstattweg 36</v>
      </c>
      <c r="AH548" t="str">
        <f>_xlfn.TEXTBEFORE(_xlfn.TEXTAFTER(AF548, ", ", 3), " ")</f>
        <v>74653</v>
      </c>
      <c r="AI548" t="str">
        <f>_xlfn.TEXTAFTER(_xlfn.TEXTAFTER(AF548, ", ", 3), " ")</f>
        <v>Künzelsau-Zentrum</v>
      </c>
    </row>
    <row r="549" spans="1:35" x14ac:dyDescent="0.2">
      <c r="A549" t="str">
        <f>B549&amp;C549&amp;H549&amp;N549</f>
        <v>35000170TSV BitzfeldE-Junioren2</v>
      </c>
      <c r="B549" t="s">
        <v>667</v>
      </c>
      <c r="C549" t="s">
        <v>668</v>
      </c>
      <c r="D549" t="s">
        <v>66</v>
      </c>
      <c r="E549" t="s">
        <v>35</v>
      </c>
      <c r="F549" t="s">
        <v>50</v>
      </c>
      <c r="G549">
        <v>3</v>
      </c>
      <c r="H549" t="s">
        <v>1112</v>
      </c>
      <c r="I549" t="s">
        <v>114</v>
      </c>
      <c r="J549" t="s">
        <v>1269</v>
      </c>
      <c r="K549" t="s">
        <v>1317</v>
      </c>
      <c r="L549" t="s">
        <v>1412</v>
      </c>
      <c r="M549">
        <v>2</v>
      </c>
      <c r="N549">
        <v>2</v>
      </c>
      <c r="O549" t="s">
        <v>790</v>
      </c>
      <c r="P549" t="s">
        <v>40</v>
      </c>
      <c r="Q549" t="s">
        <v>53</v>
      </c>
      <c r="R549" t="s">
        <v>1094</v>
      </c>
      <c r="S549" t="s">
        <v>1115</v>
      </c>
      <c r="T549" t="s">
        <v>837</v>
      </c>
      <c r="U549" t="s">
        <v>226</v>
      </c>
      <c r="V549" t="s">
        <v>43</v>
      </c>
      <c r="W549" t="s">
        <v>43</v>
      </c>
      <c r="X549" t="s">
        <v>1292</v>
      </c>
      <c r="Y549" s="4" t="s">
        <v>1319</v>
      </c>
      <c r="Z549" t="s">
        <v>45</v>
      </c>
      <c r="AA549" t="s">
        <v>1294</v>
      </c>
      <c r="AB549" t="s">
        <v>43</v>
      </c>
      <c r="AC549" t="s">
        <v>43</v>
      </c>
      <c r="AD549" t="s">
        <v>43</v>
      </c>
      <c r="AE549" t="s">
        <v>43</v>
      </c>
      <c r="AF549" t="str">
        <f>AA549</f>
        <v>Sportplatz 2 Bitzfeld, Hasenweg, 74626 Bretzfeld-Bitzfeld</v>
      </c>
      <c r="AG549" t="str">
        <f>TRIM(MID(AF549, FIND(", ", AF549)+2, FIND(", ", AF549, FIND(", ", AF549)+1) - FIND(", ", AF549) - 2))</f>
        <v>Hasenweg</v>
      </c>
      <c r="AH549" t="str">
        <f>_xlfn.TEXTBEFORE(_xlfn.TEXTAFTER(AF549, ", ", 2), " ")</f>
        <v>74626</v>
      </c>
      <c r="AI549" t="str">
        <f>_xlfn.TEXTAFTER(_xlfn.TEXTAFTER(AF549, ", ", 2), " ")</f>
        <v>Bretzfeld-Bitzfeld</v>
      </c>
    </row>
    <row r="550" spans="1:35" x14ac:dyDescent="0.2">
      <c r="A550" t="str">
        <f>B550&amp;C550&amp;H550&amp;N550</f>
        <v>35000749TSV KupferzellE-Junioren2</v>
      </c>
      <c r="B550" t="s">
        <v>190</v>
      </c>
      <c r="C550" t="s">
        <v>191</v>
      </c>
      <c r="D550" t="s">
        <v>66</v>
      </c>
      <c r="E550" t="s">
        <v>35</v>
      </c>
      <c r="F550" t="s">
        <v>50</v>
      </c>
      <c r="G550">
        <v>3</v>
      </c>
      <c r="H550" t="s">
        <v>1112</v>
      </c>
      <c r="I550" t="s">
        <v>114</v>
      </c>
      <c r="J550" t="s">
        <v>1269</v>
      </c>
      <c r="K550" t="s">
        <v>1317</v>
      </c>
      <c r="L550" t="s">
        <v>1412</v>
      </c>
      <c r="M550">
        <v>7</v>
      </c>
      <c r="N550">
        <v>2</v>
      </c>
      <c r="O550" t="s">
        <v>1322</v>
      </c>
      <c r="P550" t="s">
        <v>40</v>
      </c>
      <c r="Q550" t="s">
        <v>53</v>
      </c>
      <c r="R550" t="s">
        <v>1094</v>
      </c>
      <c r="S550" t="s">
        <v>1115</v>
      </c>
      <c r="T550" t="s">
        <v>837</v>
      </c>
      <c r="U550" t="s">
        <v>226</v>
      </c>
      <c r="V550" t="s">
        <v>43</v>
      </c>
      <c r="W550" t="s">
        <v>43</v>
      </c>
      <c r="Y550" t="s">
        <v>43</v>
      </c>
      <c r="Z550" t="s">
        <v>45</v>
      </c>
      <c r="AA550" t="s">
        <v>197</v>
      </c>
      <c r="AB550" t="s">
        <v>43</v>
      </c>
      <c r="AC550" t="s">
        <v>43</v>
      </c>
      <c r="AD550" t="s">
        <v>43</v>
      </c>
      <c r="AE550" t="s">
        <v>43</v>
      </c>
      <c r="AF550" t="str">
        <f>AA550</f>
        <v>Sportplatz 1 TSV Kupferzell, Neue Str. 29, 74635 Kupferzell-Zentrum</v>
      </c>
      <c r="AG550" t="str">
        <f>TRIM(MID(AF550, FIND(", ", AF550)+2, FIND(", ", AF550, FIND(", ", AF550)+1) - FIND(", ", AF550) - 2))</f>
        <v>Neue Str. 29</v>
      </c>
      <c r="AH550" t="str">
        <f>_xlfn.TEXTBEFORE(_xlfn.TEXTAFTER(AF550, ", ", 2), " ")</f>
        <v>74635</v>
      </c>
      <c r="AI550" t="str">
        <f>_xlfn.TEXTAFTER(_xlfn.TEXTAFTER(AF550, ", ", 2), " ")</f>
        <v>Kupferzell-Zentrum</v>
      </c>
    </row>
    <row r="551" spans="1:35" x14ac:dyDescent="0.2">
      <c r="A551" t="str">
        <f>B551&amp;C551&amp;H551&amp;N551</f>
        <v>35000853SC Michelbach/WaldE-Junioren2</v>
      </c>
      <c r="B551" t="s">
        <v>160</v>
      </c>
      <c r="C551" t="s">
        <v>161</v>
      </c>
      <c r="D551" t="s">
        <v>66</v>
      </c>
      <c r="E551" t="s">
        <v>35</v>
      </c>
      <c r="F551" t="s">
        <v>50</v>
      </c>
      <c r="G551">
        <v>3</v>
      </c>
      <c r="H551" t="s">
        <v>1112</v>
      </c>
      <c r="I551" t="s">
        <v>114</v>
      </c>
      <c r="J551" t="s">
        <v>1269</v>
      </c>
      <c r="K551" t="s">
        <v>1317</v>
      </c>
      <c r="L551" t="s">
        <v>1412</v>
      </c>
      <c r="M551">
        <v>4</v>
      </c>
      <c r="N551">
        <v>2</v>
      </c>
      <c r="O551" t="s">
        <v>1085</v>
      </c>
      <c r="P551" t="s">
        <v>40</v>
      </c>
      <c r="Q551" t="s">
        <v>53</v>
      </c>
      <c r="R551" t="s">
        <v>1094</v>
      </c>
      <c r="S551" t="s">
        <v>1115</v>
      </c>
      <c r="T551" t="s">
        <v>974</v>
      </c>
      <c r="U551" t="s">
        <v>226</v>
      </c>
      <c r="V551" t="s">
        <v>43</v>
      </c>
      <c r="W551" t="s">
        <v>43</v>
      </c>
      <c r="Y551" t="s">
        <v>43</v>
      </c>
      <c r="Z551" t="s">
        <v>45</v>
      </c>
      <c r="AA551" t="s">
        <v>498</v>
      </c>
      <c r="AB551" t="s">
        <v>43</v>
      </c>
      <c r="AC551" t="s">
        <v>43</v>
      </c>
      <c r="AD551" t="s">
        <v>43</v>
      </c>
      <c r="AE551" t="s">
        <v>43</v>
      </c>
      <c r="AF551" t="str">
        <f>AA551</f>
        <v>Kunstrasenplatz SC Michelbach/Wald, Keltergasse, 74613 Öhringen-Michelbach</v>
      </c>
      <c r="AG551" t="str">
        <f>TRIM(MID(AF551, FIND(", ", AF551)+2, FIND(", ", AF551, FIND(", ", AF551)+1) - FIND(", ", AF551) - 2))</f>
        <v>Keltergasse</v>
      </c>
      <c r="AH551" t="str">
        <f>_xlfn.TEXTBEFORE(_xlfn.TEXTAFTER(AF551, ", ", 2), " ")</f>
        <v>74613</v>
      </c>
      <c r="AI551" t="str">
        <f>_xlfn.TEXTAFTER(_xlfn.TEXTAFTER(AF551, ", ", 2), " ")</f>
        <v>Öhringen-Michelbach</v>
      </c>
    </row>
    <row r="552" spans="1:35" x14ac:dyDescent="0.2">
      <c r="A552" t="str">
        <f>B552&amp;C552&amp;H552&amp;N552</f>
        <v>35001044TSV PfedelbachE-Junioren2</v>
      </c>
      <c r="B552" t="s">
        <v>425</v>
      </c>
      <c r="C552" t="s">
        <v>426</v>
      </c>
      <c r="D552" t="s">
        <v>66</v>
      </c>
      <c r="E552" t="s">
        <v>35</v>
      </c>
      <c r="F552" t="s">
        <v>50</v>
      </c>
      <c r="G552">
        <v>3</v>
      </c>
      <c r="H552" t="s">
        <v>1112</v>
      </c>
      <c r="I552" t="s">
        <v>114</v>
      </c>
      <c r="J552" t="s">
        <v>1269</v>
      </c>
      <c r="K552" t="s">
        <v>1317</v>
      </c>
      <c r="L552" t="s">
        <v>1412</v>
      </c>
      <c r="M552">
        <v>6</v>
      </c>
      <c r="N552">
        <v>2</v>
      </c>
      <c r="O552" t="s">
        <v>1077</v>
      </c>
      <c r="P552" t="s">
        <v>40</v>
      </c>
      <c r="Q552" t="s">
        <v>53</v>
      </c>
      <c r="R552" t="s">
        <v>1094</v>
      </c>
      <c r="S552" t="s">
        <v>1115</v>
      </c>
      <c r="T552" t="s">
        <v>837</v>
      </c>
      <c r="U552" t="s">
        <v>226</v>
      </c>
      <c r="V552" t="s">
        <v>43</v>
      </c>
      <c r="W552" t="s">
        <v>43</v>
      </c>
      <c r="Y552" t="s">
        <v>43</v>
      </c>
      <c r="Z552" t="s">
        <v>45</v>
      </c>
      <c r="AA552" t="s">
        <v>792</v>
      </c>
      <c r="AB552" t="s">
        <v>43</v>
      </c>
      <c r="AC552" t="s">
        <v>43</v>
      </c>
      <c r="AD552" t="s">
        <v>43</v>
      </c>
      <c r="AE552" t="s">
        <v>43</v>
      </c>
      <c r="AF552" t="str">
        <f>AA552</f>
        <v>Sportplatz 1 Untersteinbach, Freibadweg, 74629 Pfedelbach-Untersteinbach</v>
      </c>
      <c r="AG552" t="str">
        <f>TRIM(MID(AF552, FIND(", ", AF552)+2, FIND(", ", AF552, FIND(", ", AF552)+1) - FIND(", ", AF552) - 2))</f>
        <v>Freibadweg</v>
      </c>
      <c r="AH552" t="str">
        <f>_xlfn.TEXTBEFORE(_xlfn.TEXTAFTER(AF552, ", ", 2), " ")</f>
        <v>74629</v>
      </c>
      <c r="AI552" t="str">
        <f>_xlfn.TEXTAFTER(_xlfn.TEXTAFTER(AF552, ", ", 2), " ")</f>
        <v>Pfedelbach-Untersteinbach</v>
      </c>
    </row>
    <row r="553" spans="1:35" x14ac:dyDescent="0.2">
      <c r="A553" t="str">
        <f>B553&amp;C553&amp;H553&amp;N553</f>
        <v>35001163SG Sindringen/ErnsbachE-Junioren3</v>
      </c>
      <c r="B553" t="s">
        <v>1286</v>
      </c>
      <c r="C553" t="s">
        <v>1287</v>
      </c>
      <c r="D553" t="s">
        <v>66</v>
      </c>
      <c r="E553" t="s">
        <v>35</v>
      </c>
      <c r="F553" t="s">
        <v>50</v>
      </c>
      <c r="G553">
        <v>3</v>
      </c>
      <c r="H553" t="s">
        <v>1112</v>
      </c>
      <c r="I553" t="s">
        <v>114</v>
      </c>
      <c r="J553" t="s">
        <v>1269</v>
      </c>
      <c r="K553" t="s">
        <v>1317</v>
      </c>
      <c r="L553" t="s">
        <v>1412</v>
      </c>
      <c r="M553">
        <v>3</v>
      </c>
      <c r="N553">
        <v>3</v>
      </c>
      <c r="O553" t="s">
        <v>1318</v>
      </c>
      <c r="P553" t="s">
        <v>40</v>
      </c>
      <c r="Q553" t="s">
        <v>53</v>
      </c>
      <c r="R553" t="s">
        <v>1094</v>
      </c>
      <c r="S553" t="s">
        <v>1115</v>
      </c>
      <c r="T553" t="s">
        <v>837</v>
      </c>
      <c r="U553" t="s">
        <v>226</v>
      </c>
      <c r="V553" t="s">
        <v>43</v>
      </c>
      <c r="W553" t="s">
        <v>43</v>
      </c>
      <c r="Y553" t="s">
        <v>43</v>
      </c>
      <c r="Z553" t="s">
        <v>45</v>
      </c>
      <c r="AA553" t="s">
        <v>843</v>
      </c>
      <c r="AB553" t="s">
        <v>1290</v>
      </c>
      <c r="AC553" t="s">
        <v>1291</v>
      </c>
      <c r="AD553" t="s">
        <v>43</v>
      </c>
      <c r="AE553" t="s">
        <v>43</v>
      </c>
      <c r="AF553" t="str">
        <f>AC553</f>
        <v>Sportplatz 1 Ernsbach, Forchtenberger Str. 25, 74670 Forchtenberg-Ernsbach</v>
      </c>
      <c r="AG553" t="str">
        <f>TRIM(MID(AF553, FIND(", ", AF553)+2, FIND(", ", AF553, FIND(", ", AF553)+1) - FIND(", ", AF553) - 2))</f>
        <v>Forchtenberger Str. 25</v>
      </c>
      <c r="AH553" t="str">
        <f>_xlfn.TEXTBEFORE(_xlfn.TEXTAFTER(AF553, ", ", 2), " ")</f>
        <v>74670</v>
      </c>
      <c r="AI553" t="str">
        <f>_xlfn.TEXTAFTER(_xlfn.TEXTAFTER(AF553, ", ", 2), " ")</f>
        <v>Forchtenberg-Ernsbach</v>
      </c>
    </row>
    <row r="554" spans="1:35" x14ac:dyDescent="0.2">
      <c r="A554" t="str">
        <f>B554&amp;C554&amp;H554&amp;N554</f>
        <v>35001434TSG VerrenbergE-Junioren1</v>
      </c>
      <c r="B554" t="s">
        <v>969</v>
      </c>
      <c r="C554" t="s">
        <v>970</v>
      </c>
      <c r="D554" t="s">
        <v>66</v>
      </c>
      <c r="E554" t="s">
        <v>35</v>
      </c>
      <c r="F554" t="s">
        <v>50</v>
      </c>
      <c r="G554">
        <v>3</v>
      </c>
      <c r="H554" t="s">
        <v>1112</v>
      </c>
      <c r="I554" t="s">
        <v>114</v>
      </c>
      <c r="J554" t="s">
        <v>1269</v>
      </c>
      <c r="K554" t="s">
        <v>1317</v>
      </c>
      <c r="L554" t="s">
        <v>1412</v>
      </c>
      <c r="M554">
        <v>5</v>
      </c>
      <c r="N554">
        <v>1</v>
      </c>
      <c r="O554" t="s">
        <v>970</v>
      </c>
      <c r="P554" t="s">
        <v>40</v>
      </c>
      <c r="Q554" t="s">
        <v>53</v>
      </c>
      <c r="R554" t="s">
        <v>1094</v>
      </c>
      <c r="S554" t="s">
        <v>1115</v>
      </c>
      <c r="T554" t="s">
        <v>837</v>
      </c>
      <c r="U554" t="s">
        <v>118</v>
      </c>
      <c r="V554" t="s">
        <v>43</v>
      </c>
      <c r="W554" t="s">
        <v>43</v>
      </c>
      <c r="Y554" t="s">
        <v>43</v>
      </c>
      <c r="Z554" t="s">
        <v>45</v>
      </c>
      <c r="AA554" t="s">
        <v>972</v>
      </c>
      <c r="AB554" t="s">
        <v>43</v>
      </c>
      <c r="AC554" t="s">
        <v>43</v>
      </c>
      <c r="AD554" t="s">
        <v>43</v>
      </c>
      <c r="AE554" t="s">
        <v>43</v>
      </c>
      <c r="AF554" t="str">
        <f>AA554</f>
        <v>Sportplatz 1 TSG Verrenberg, Reblandstr., 74613 Öhringen-Verrenberg</v>
      </c>
      <c r="AG554" t="str">
        <f>TRIM(MID(AF554, FIND(", ", AF554)+2, FIND(", ", AF554, FIND(", ", AF554)+1) - FIND(", ", AF554) - 2))</f>
        <v>Reblandstr.</v>
      </c>
      <c r="AH554" t="str">
        <f>_xlfn.TEXTBEFORE(_xlfn.TEXTAFTER(AF554, ", ", 2), " ")</f>
        <v>74613</v>
      </c>
      <c r="AI554" t="str">
        <f>_xlfn.TEXTAFTER(_xlfn.TEXTAFTER(AF554, ", ", 2), " ")</f>
        <v>Öhringen-Verrenberg</v>
      </c>
    </row>
    <row r="555" spans="1:35" x14ac:dyDescent="0.2">
      <c r="A555" t="str">
        <f>B555&amp;C555&amp;H555&amp;N555</f>
        <v>35001560TSV ZweiflingenE-Junioren2</v>
      </c>
      <c r="B555" t="s">
        <v>794</v>
      </c>
      <c r="C555" t="s">
        <v>795</v>
      </c>
      <c r="D555" t="s">
        <v>66</v>
      </c>
      <c r="E555" t="s">
        <v>35</v>
      </c>
      <c r="F555" t="s">
        <v>50</v>
      </c>
      <c r="G555">
        <v>3</v>
      </c>
      <c r="H555" t="s">
        <v>1112</v>
      </c>
      <c r="I555" t="s">
        <v>114</v>
      </c>
      <c r="J555" t="s">
        <v>1269</v>
      </c>
      <c r="K555" t="s">
        <v>1317</v>
      </c>
      <c r="L555" t="s">
        <v>1412</v>
      </c>
      <c r="M555">
        <v>8</v>
      </c>
      <c r="N555">
        <v>2</v>
      </c>
      <c r="O555" t="s">
        <v>1320</v>
      </c>
      <c r="P555" t="s">
        <v>40</v>
      </c>
      <c r="Q555" t="s">
        <v>53</v>
      </c>
      <c r="R555" t="s">
        <v>1094</v>
      </c>
      <c r="S555" t="s">
        <v>1115</v>
      </c>
      <c r="T555" t="s">
        <v>837</v>
      </c>
      <c r="U555" t="s">
        <v>226</v>
      </c>
      <c r="V555" t="s">
        <v>43</v>
      </c>
      <c r="W555" t="s">
        <v>43</v>
      </c>
      <c r="X555" t="s">
        <v>1292</v>
      </c>
      <c r="Y555" s="4" t="s">
        <v>1321</v>
      </c>
      <c r="Z555" t="s">
        <v>45</v>
      </c>
      <c r="AA555" t="s">
        <v>797</v>
      </c>
      <c r="AB555" t="s">
        <v>43</v>
      </c>
      <c r="AC555" t="s">
        <v>43</v>
      </c>
      <c r="AD555" t="s">
        <v>43</v>
      </c>
      <c r="AE555" t="s">
        <v>43</v>
      </c>
      <c r="AF555" t="str">
        <f>AA555</f>
        <v>Sportplatz 1 TSV Zweiflingen, Bei der Sporthalle, 74639 Zweiflingen</v>
      </c>
      <c r="AG555" t="str">
        <f>TRIM(MID(AF555, FIND(", ", AF555)+2, FIND(", ", AF555, FIND(", ", AF555)+1) - FIND(", ", AF555) - 2))</f>
        <v>Bei der Sporthalle</v>
      </c>
      <c r="AH555" t="str">
        <f>_xlfn.TEXTBEFORE(_xlfn.TEXTAFTER(AF555, ", ", 2), " ")</f>
        <v>74639</v>
      </c>
      <c r="AI555" t="str">
        <f>_xlfn.TEXTAFTER(_xlfn.TEXTAFTER(AF555, ", ", 2), " ")</f>
        <v>Zweiflingen</v>
      </c>
    </row>
    <row r="556" spans="1:35" x14ac:dyDescent="0.2">
      <c r="A556" t="str">
        <f>B556&amp;C556&amp;H556&amp;N556</f>
        <v>35000239FC CreglingenE-Junioren1</v>
      </c>
      <c r="B556" t="s">
        <v>311</v>
      </c>
      <c r="C556" t="s">
        <v>312</v>
      </c>
      <c r="D556" t="s">
        <v>204</v>
      </c>
      <c r="E556" t="s">
        <v>35</v>
      </c>
      <c r="F556" t="s">
        <v>50</v>
      </c>
      <c r="G556">
        <v>3</v>
      </c>
      <c r="H556" t="s">
        <v>1112</v>
      </c>
      <c r="I556" t="s">
        <v>114</v>
      </c>
      <c r="J556" t="s">
        <v>1269</v>
      </c>
      <c r="K556" t="s">
        <v>1323</v>
      </c>
      <c r="L556" t="s">
        <v>1413</v>
      </c>
      <c r="M556">
        <v>7</v>
      </c>
      <c r="N556">
        <v>1</v>
      </c>
      <c r="O556" t="s">
        <v>1325</v>
      </c>
      <c r="P556" t="s">
        <v>40</v>
      </c>
      <c r="Q556" t="s">
        <v>53</v>
      </c>
      <c r="R556" t="s">
        <v>1094</v>
      </c>
      <c r="S556" t="s">
        <v>1115</v>
      </c>
      <c r="T556" t="s">
        <v>1000</v>
      </c>
      <c r="U556" t="s">
        <v>226</v>
      </c>
      <c r="V556" t="s">
        <v>43</v>
      </c>
      <c r="W556" t="s">
        <v>43</v>
      </c>
      <c r="Y556" t="s">
        <v>1326</v>
      </c>
      <c r="Z556" t="s">
        <v>45</v>
      </c>
      <c r="AA556" t="s">
        <v>315</v>
      </c>
      <c r="AB556" t="s">
        <v>43</v>
      </c>
      <c r="AC556" t="s">
        <v>43</v>
      </c>
      <c r="AD556" t="s">
        <v>43</v>
      </c>
      <c r="AE556" t="s">
        <v>43</v>
      </c>
      <c r="AF556" t="str">
        <f>AA556</f>
        <v>Sportplatz 1 FC Creglingen, Rothenburger Str., 97993 Creglingen-Zentrum</v>
      </c>
      <c r="AG556" t="str">
        <f>TRIM(MID(AF556, FIND(", ", AF556)+2, FIND(", ", AF556, FIND(", ", AF556)+1) - FIND(", ", AF556) - 2))</f>
        <v>Rothenburger Str.</v>
      </c>
      <c r="AH556" t="str">
        <f>_xlfn.TEXTBEFORE(_xlfn.TEXTAFTER(AF556, ", ", 2), " ")</f>
        <v>97993</v>
      </c>
      <c r="AI556" t="str">
        <f>_xlfn.TEXTAFTER(_xlfn.TEXTAFTER(AF556, ", ", 2), " ")</f>
        <v>Creglingen-Zentrum</v>
      </c>
    </row>
    <row r="557" spans="1:35" x14ac:dyDescent="0.2">
      <c r="A557" t="str">
        <f>B557&amp;C557&amp;H557&amp;N557</f>
        <v>35000319SV EdelfingenE-Junioren2</v>
      </c>
      <c r="B557" t="s">
        <v>1276</v>
      </c>
      <c r="C557" t="s">
        <v>1277</v>
      </c>
      <c r="D557" t="s">
        <v>204</v>
      </c>
      <c r="E557" t="s">
        <v>35</v>
      </c>
      <c r="F557" t="s">
        <v>50</v>
      </c>
      <c r="G557">
        <v>3</v>
      </c>
      <c r="H557" t="s">
        <v>1112</v>
      </c>
      <c r="I557" t="s">
        <v>114</v>
      </c>
      <c r="J557" t="s">
        <v>1269</v>
      </c>
      <c r="K557" t="s">
        <v>1323</v>
      </c>
      <c r="L557" t="s">
        <v>1413</v>
      </c>
      <c r="M557">
        <v>6</v>
      </c>
      <c r="N557">
        <v>2</v>
      </c>
      <c r="O557" t="s">
        <v>1327</v>
      </c>
      <c r="P557" t="s">
        <v>40</v>
      </c>
      <c r="Q557" t="s">
        <v>53</v>
      </c>
      <c r="R557" t="s">
        <v>1094</v>
      </c>
      <c r="S557" t="s">
        <v>1115</v>
      </c>
      <c r="T557" t="s">
        <v>837</v>
      </c>
      <c r="U557" t="s">
        <v>226</v>
      </c>
      <c r="V557" t="s">
        <v>43</v>
      </c>
      <c r="W557" t="s">
        <v>43</v>
      </c>
      <c r="X557" t="s">
        <v>1328</v>
      </c>
      <c r="Y557" s="4" t="s">
        <v>1280</v>
      </c>
      <c r="Z557" t="s">
        <v>45</v>
      </c>
      <c r="AA557" t="s">
        <v>1281</v>
      </c>
      <c r="AB557" t="s">
        <v>43</v>
      </c>
      <c r="AC557" t="s">
        <v>43</v>
      </c>
      <c r="AD557" t="s">
        <v>43</v>
      </c>
      <c r="AE557" t="s">
        <v>43</v>
      </c>
      <c r="AF557" t="str">
        <f>AA557</f>
        <v>Sportplatz 1 Edelfingen, Theobaldstr., 97980 Bad Mergentheim-Edelfingen</v>
      </c>
      <c r="AG557" t="str">
        <f>TRIM(MID(AF557, FIND(", ", AF557)+2, FIND(", ", AF557, FIND(", ", AF557)+1) - FIND(", ", AF557) - 2))</f>
        <v>Theobaldstr.</v>
      </c>
      <c r="AH557" t="str">
        <f>_xlfn.TEXTBEFORE(_xlfn.TEXTAFTER(AF557, ", ", 2), " ")</f>
        <v>97980</v>
      </c>
      <c r="AI557" t="str">
        <f>_xlfn.TEXTAFTER(_xlfn.TEXTAFTER(AF557, ", ", 2), " ")</f>
        <v>Bad Mergentheim-Edelfingen</v>
      </c>
    </row>
    <row r="558" spans="1:35" x14ac:dyDescent="0.2">
      <c r="A558" t="str">
        <f>B558&amp;C558&amp;H558&amp;N558</f>
        <v>35000319SV EdelfingenE-Junioren3</v>
      </c>
      <c r="B558" t="s">
        <v>1276</v>
      </c>
      <c r="C558" t="s">
        <v>1277</v>
      </c>
      <c r="D558" t="s">
        <v>204</v>
      </c>
      <c r="E558" t="s">
        <v>35</v>
      </c>
      <c r="F558" t="s">
        <v>50</v>
      </c>
      <c r="G558">
        <v>3</v>
      </c>
      <c r="H558" t="s">
        <v>1112</v>
      </c>
      <c r="I558" t="s">
        <v>114</v>
      </c>
      <c r="J558" t="s">
        <v>1269</v>
      </c>
      <c r="K558" t="s">
        <v>1323</v>
      </c>
      <c r="L558" t="s">
        <v>1413</v>
      </c>
      <c r="M558">
        <v>8</v>
      </c>
      <c r="N558">
        <v>3</v>
      </c>
      <c r="O558" t="s">
        <v>1329</v>
      </c>
      <c r="P558" t="s">
        <v>40</v>
      </c>
      <c r="Q558" t="s">
        <v>53</v>
      </c>
      <c r="R558" t="s">
        <v>1094</v>
      </c>
      <c r="S558" t="s">
        <v>1115</v>
      </c>
      <c r="T558" t="s">
        <v>837</v>
      </c>
      <c r="U558" t="s">
        <v>226</v>
      </c>
      <c r="V558" t="s">
        <v>43</v>
      </c>
      <c r="W558" t="s">
        <v>43</v>
      </c>
      <c r="X558" t="s">
        <v>1328</v>
      </c>
      <c r="Y558" s="4" t="s">
        <v>1280</v>
      </c>
      <c r="Z558" t="s">
        <v>45</v>
      </c>
      <c r="AA558" t="s">
        <v>1281</v>
      </c>
      <c r="AB558" t="s">
        <v>43</v>
      </c>
      <c r="AC558" t="s">
        <v>43</v>
      </c>
      <c r="AD558" t="s">
        <v>43</v>
      </c>
      <c r="AE558" t="s">
        <v>43</v>
      </c>
      <c r="AF558" t="str">
        <f>AA558</f>
        <v>Sportplatz 1 Edelfingen, Theobaldstr., 97980 Bad Mergentheim-Edelfingen</v>
      </c>
      <c r="AG558" t="str">
        <f>TRIM(MID(AF558, FIND(", ", AF558)+2, FIND(", ", AF558, FIND(", ", AF558)+1) - FIND(", ", AF558) - 2))</f>
        <v>Theobaldstr.</v>
      </c>
      <c r="AH558" t="str">
        <f>_xlfn.TEXTBEFORE(_xlfn.TEXTAFTER(AF558, ", ", 2), " ")</f>
        <v>97980</v>
      </c>
      <c r="AI558" t="str">
        <f>_xlfn.TEXTAFTER(_xlfn.TEXTAFTER(AF558, ", ", 2), " ")</f>
        <v>Bad Mergentheim-Edelfingen</v>
      </c>
    </row>
    <row r="559" spans="1:35" x14ac:dyDescent="0.2">
      <c r="A559" t="str">
        <f>B559&amp;C559&amp;H559&amp;N559</f>
        <v>350006591. FC IgersheimE-Junioren3</v>
      </c>
      <c r="B559" t="s">
        <v>408</v>
      </c>
      <c r="C559" t="s">
        <v>409</v>
      </c>
      <c r="D559" t="s">
        <v>204</v>
      </c>
      <c r="E559" t="s">
        <v>35</v>
      </c>
      <c r="F559" t="s">
        <v>50</v>
      </c>
      <c r="G559">
        <v>3</v>
      </c>
      <c r="H559" t="s">
        <v>1112</v>
      </c>
      <c r="I559" t="s">
        <v>114</v>
      </c>
      <c r="J559" t="s">
        <v>1269</v>
      </c>
      <c r="K559" t="s">
        <v>1323</v>
      </c>
      <c r="L559" t="s">
        <v>1413</v>
      </c>
      <c r="M559">
        <v>4</v>
      </c>
      <c r="N559">
        <v>3</v>
      </c>
      <c r="O559" t="s">
        <v>1324</v>
      </c>
      <c r="P559" t="s">
        <v>40</v>
      </c>
      <c r="Q559" t="s">
        <v>53</v>
      </c>
      <c r="R559" t="s">
        <v>1094</v>
      </c>
      <c r="S559" t="s">
        <v>1115</v>
      </c>
      <c r="T559" t="s">
        <v>837</v>
      </c>
      <c r="U559" t="s">
        <v>226</v>
      </c>
      <c r="V559" t="s">
        <v>43</v>
      </c>
      <c r="W559" t="s">
        <v>43</v>
      </c>
      <c r="Y559" t="s">
        <v>43</v>
      </c>
      <c r="Z559" t="s">
        <v>45</v>
      </c>
      <c r="AA559" t="s">
        <v>206</v>
      </c>
      <c r="AB559" t="s">
        <v>43</v>
      </c>
      <c r="AC559" t="s">
        <v>43</v>
      </c>
      <c r="AD559" t="s">
        <v>43</v>
      </c>
      <c r="AE559" t="s">
        <v>43</v>
      </c>
      <c r="AF559" t="str">
        <f>AA559</f>
        <v>Sportplatz an der Erlenbachtalhalle Igersheim, Erlenbachtalstr., 97999 Igersheim-Zentrum</v>
      </c>
      <c r="AG559" t="str">
        <f>TRIM(MID(AF559, FIND(", ", AF559)+2, FIND(", ", AF559, FIND(", ", AF559)+1) - FIND(", ", AF559) - 2))</f>
        <v>Erlenbachtalstr.</v>
      </c>
      <c r="AH559" t="str">
        <f>_xlfn.TEXTBEFORE(_xlfn.TEXTAFTER(AF559, ", ", 2), " ")</f>
        <v>97999</v>
      </c>
      <c r="AI559" t="str">
        <f>_xlfn.TEXTAFTER(_xlfn.TEXTAFTER(AF559, ", ", 2), " ")</f>
        <v>Igersheim-Zentrum</v>
      </c>
    </row>
    <row r="560" spans="1:35" x14ac:dyDescent="0.2">
      <c r="A560" t="str">
        <f>B560&amp;C560&amp;H560&amp;N560</f>
        <v>35000846VfB Bad MergentheimE-Junioren2</v>
      </c>
      <c r="B560" t="s">
        <v>202</v>
      </c>
      <c r="C560" t="s">
        <v>203</v>
      </c>
      <c r="D560" t="s">
        <v>204</v>
      </c>
      <c r="E560" t="s">
        <v>35</v>
      </c>
      <c r="F560" t="s">
        <v>50</v>
      </c>
      <c r="G560">
        <v>3</v>
      </c>
      <c r="H560" t="s">
        <v>1112</v>
      </c>
      <c r="I560" t="s">
        <v>114</v>
      </c>
      <c r="J560" t="s">
        <v>1269</v>
      </c>
      <c r="K560" t="s">
        <v>1323</v>
      </c>
      <c r="L560" t="s">
        <v>1413</v>
      </c>
      <c r="M560">
        <v>3</v>
      </c>
      <c r="N560">
        <v>2</v>
      </c>
      <c r="O560" t="s">
        <v>1069</v>
      </c>
      <c r="P560" t="s">
        <v>40</v>
      </c>
      <c r="Q560" t="s">
        <v>53</v>
      </c>
      <c r="R560" t="s">
        <v>1094</v>
      </c>
      <c r="S560" t="s">
        <v>1115</v>
      </c>
      <c r="T560" t="s">
        <v>974</v>
      </c>
      <c r="U560" t="s">
        <v>226</v>
      </c>
      <c r="V560" t="s">
        <v>43</v>
      </c>
      <c r="W560" t="s">
        <v>43</v>
      </c>
      <c r="Y560" t="s">
        <v>43</v>
      </c>
      <c r="Z560" t="s">
        <v>45</v>
      </c>
      <c r="AA560" t="s">
        <v>445</v>
      </c>
      <c r="AB560" t="s">
        <v>43</v>
      </c>
      <c r="AC560" t="s">
        <v>43</v>
      </c>
      <c r="AD560" t="s">
        <v>43</v>
      </c>
      <c r="AE560" t="s">
        <v>43</v>
      </c>
      <c r="AF560" t="str">
        <f>AA560</f>
        <v>Nebenplatz am Stadion, Arkau 3, 97980 Bad Mergentheim</v>
      </c>
      <c r="AG560" t="str">
        <f>TRIM(MID(AF560, FIND(", ", AF560)+2, FIND(", ", AF560, FIND(", ", AF560)+1) - FIND(", ", AF560) - 2))</f>
        <v>Arkau 3</v>
      </c>
      <c r="AH560" t="str">
        <f>_xlfn.TEXTBEFORE(_xlfn.TEXTAFTER(AF560, ", ", 2), " ")</f>
        <v>97980</v>
      </c>
      <c r="AI560" t="str">
        <f>_xlfn.TEXTAFTER(_xlfn.TEXTAFTER(AF560, ", ", 2), " ")</f>
        <v>Bad Mergentheim</v>
      </c>
    </row>
    <row r="561" spans="1:35" x14ac:dyDescent="0.2">
      <c r="A561" t="str">
        <f>B561&amp;C561&amp;H561&amp;N561</f>
        <v>35001441SV WachbachE-Junioren3</v>
      </c>
      <c r="B561" t="s">
        <v>558</v>
      </c>
      <c r="C561" t="s">
        <v>559</v>
      </c>
      <c r="D561" t="s">
        <v>204</v>
      </c>
      <c r="E561" t="s">
        <v>35</v>
      </c>
      <c r="F561" t="s">
        <v>50</v>
      </c>
      <c r="G561">
        <v>3</v>
      </c>
      <c r="H561" t="s">
        <v>1112</v>
      </c>
      <c r="I561" t="s">
        <v>114</v>
      </c>
      <c r="J561" t="s">
        <v>1269</v>
      </c>
      <c r="K561" t="s">
        <v>1323</v>
      </c>
      <c r="L561" t="s">
        <v>1413</v>
      </c>
      <c r="M561">
        <v>2</v>
      </c>
      <c r="N561">
        <v>3</v>
      </c>
      <c r="O561" t="s">
        <v>1330</v>
      </c>
      <c r="P561" t="s">
        <v>40</v>
      </c>
      <c r="Q561" t="s">
        <v>53</v>
      </c>
      <c r="R561" t="s">
        <v>1094</v>
      </c>
      <c r="S561" t="s">
        <v>1115</v>
      </c>
      <c r="T561" t="s">
        <v>974</v>
      </c>
      <c r="U561" t="s">
        <v>226</v>
      </c>
      <c r="V561" t="s">
        <v>43</v>
      </c>
      <c r="W561" t="s">
        <v>43</v>
      </c>
      <c r="X561" t="s">
        <v>1331</v>
      </c>
      <c r="Y561" s="4" t="s">
        <v>1332</v>
      </c>
      <c r="Z561" t="s">
        <v>45</v>
      </c>
      <c r="AA561" t="s">
        <v>562</v>
      </c>
      <c r="AB561" t="s">
        <v>43</v>
      </c>
      <c r="AC561" t="s">
        <v>43</v>
      </c>
      <c r="AD561" t="s">
        <v>43</v>
      </c>
      <c r="AE561" t="s">
        <v>43</v>
      </c>
      <c r="AF561" t="str">
        <f>AA561</f>
        <v>Sportpark im Erpfental, Erpfentalstr. 6, 97980 Bad Mergentheim-Wachbach</v>
      </c>
      <c r="AG561" t="str">
        <f>TRIM(MID(AF561, FIND(", ", AF561)+2, FIND(", ", AF561, FIND(", ", AF561)+1) - FIND(", ", AF561) - 2))</f>
        <v>Erpfentalstr. 6</v>
      </c>
      <c r="AH561" t="str">
        <f>_xlfn.TEXTBEFORE(_xlfn.TEXTAFTER(AF561, ", ", 2), " ")</f>
        <v>97980</v>
      </c>
      <c r="AI561" t="str">
        <f>_xlfn.TEXTAFTER(_xlfn.TEXTAFTER(AF561, ", ", 2), " ")</f>
        <v>Bad Mergentheim-Wachbach</v>
      </c>
    </row>
    <row r="562" spans="1:35" x14ac:dyDescent="0.2">
      <c r="A562" t="str">
        <f>B562&amp;C562&amp;H562&amp;N562</f>
        <v>35001478TSV WeikersheimE-Junioren3</v>
      </c>
      <c r="B562" t="s">
        <v>325</v>
      </c>
      <c r="C562" t="s">
        <v>326</v>
      </c>
      <c r="D562" t="s">
        <v>204</v>
      </c>
      <c r="E562" t="s">
        <v>35</v>
      </c>
      <c r="F562" t="s">
        <v>50</v>
      </c>
      <c r="G562">
        <v>3</v>
      </c>
      <c r="H562" t="s">
        <v>1112</v>
      </c>
      <c r="I562" t="s">
        <v>114</v>
      </c>
      <c r="J562" t="s">
        <v>1269</v>
      </c>
      <c r="K562" t="s">
        <v>1323</v>
      </c>
      <c r="L562" t="s">
        <v>1413</v>
      </c>
      <c r="M562">
        <v>5</v>
      </c>
      <c r="N562">
        <v>3</v>
      </c>
      <c r="O562" t="s">
        <v>1333</v>
      </c>
      <c r="P562" t="s">
        <v>40</v>
      </c>
      <c r="Q562" t="s">
        <v>53</v>
      </c>
      <c r="R562" t="s">
        <v>1094</v>
      </c>
      <c r="S562" t="s">
        <v>1115</v>
      </c>
      <c r="T562" t="s">
        <v>837</v>
      </c>
      <c r="U562" t="s">
        <v>226</v>
      </c>
      <c r="V562" t="s">
        <v>43</v>
      </c>
      <c r="W562" t="s">
        <v>43</v>
      </c>
      <c r="Y562" t="s">
        <v>43</v>
      </c>
      <c r="Z562" t="s">
        <v>45</v>
      </c>
      <c r="AA562" t="s">
        <v>824</v>
      </c>
      <c r="AB562" t="s">
        <v>43</v>
      </c>
      <c r="AC562" t="s">
        <v>43</v>
      </c>
      <c r="AD562" t="s">
        <v>43</v>
      </c>
      <c r="AE562" t="s">
        <v>43</v>
      </c>
      <c r="AF562" t="str">
        <f>AA562</f>
        <v>Sportplatz 1 Markelsheim, Unterer Wasen 5, 97980 Bad Mergentheim-Markelsheim</v>
      </c>
      <c r="AG562" t="str">
        <f>TRIM(MID(AF562, FIND(", ", AF562)+2, FIND(", ", AF562, FIND(", ", AF562)+1) - FIND(", ", AF562) - 2))</f>
        <v>Unterer Wasen 5</v>
      </c>
      <c r="AH562" t="str">
        <f>_xlfn.TEXTBEFORE(_xlfn.TEXTAFTER(AF562, ", ", 2), " ")</f>
        <v>97980</v>
      </c>
      <c r="AI562" t="str">
        <f>_xlfn.TEXTAFTER(_xlfn.TEXTAFTER(AF562, ", ", 2), " ")</f>
        <v>Bad Mergentheim-Markelsheim</v>
      </c>
    </row>
    <row r="563" spans="1:35" x14ac:dyDescent="0.2">
      <c r="A563" t="str">
        <f>B563&amp;C563&amp;H563&amp;N563</f>
        <v>35000062SC AmrichshausenE-Junioren1</v>
      </c>
      <c r="B563" t="s">
        <v>1058</v>
      </c>
      <c r="C563" t="s">
        <v>1059</v>
      </c>
      <c r="D563" t="s">
        <v>49</v>
      </c>
      <c r="E563" t="s">
        <v>35</v>
      </c>
      <c r="F563" t="s">
        <v>50</v>
      </c>
      <c r="G563">
        <v>3</v>
      </c>
      <c r="H563" t="s">
        <v>1112</v>
      </c>
      <c r="I563" t="s">
        <v>114</v>
      </c>
      <c r="J563" t="s">
        <v>1269</v>
      </c>
      <c r="K563" t="s">
        <v>1334</v>
      </c>
      <c r="L563" t="s">
        <v>1414</v>
      </c>
      <c r="M563">
        <v>4</v>
      </c>
      <c r="N563">
        <v>1</v>
      </c>
      <c r="O563" t="s">
        <v>1335</v>
      </c>
      <c r="P563" t="s">
        <v>40</v>
      </c>
      <c r="Q563" t="s">
        <v>40</v>
      </c>
      <c r="R563" t="s">
        <v>1094</v>
      </c>
      <c r="S563" t="s">
        <v>1115</v>
      </c>
      <c r="T563" t="s">
        <v>837</v>
      </c>
      <c r="U563" t="s">
        <v>118</v>
      </c>
      <c r="V563" t="s">
        <v>43</v>
      </c>
      <c r="W563" t="s">
        <v>43</v>
      </c>
      <c r="Y563" t="s">
        <v>43</v>
      </c>
      <c r="Z563" t="s">
        <v>45</v>
      </c>
      <c r="AA563" t="s">
        <v>1062</v>
      </c>
      <c r="AB563" t="s">
        <v>43</v>
      </c>
      <c r="AC563" t="s">
        <v>43</v>
      </c>
      <c r="AD563" t="s">
        <v>43</v>
      </c>
      <c r="AE563" t="s">
        <v>43</v>
      </c>
      <c r="AF563" t="str">
        <f>AA563</f>
        <v>Sportplatz 2 Amrichshausen, Grabenteichweg 25, 74653 Künzelsau-Amrichshausen</v>
      </c>
      <c r="AG563" t="str">
        <f>TRIM(MID(AF563, FIND(", ", AF563)+2, FIND(", ", AF563, FIND(", ", AF563)+1) - FIND(", ", AF563) - 2))</f>
        <v>Grabenteichweg 25</v>
      </c>
      <c r="AH563" t="str">
        <f>_xlfn.TEXTBEFORE(_xlfn.TEXTAFTER(AF563, ", ", 2), " ")</f>
        <v>74653</v>
      </c>
      <c r="AI563" t="str">
        <f>_xlfn.TEXTAFTER(_xlfn.TEXTAFTER(AF563, ", ", 2), " ")</f>
        <v>Künzelsau-Amrichshausen</v>
      </c>
    </row>
    <row r="564" spans="1:35" x14ac:dyDescent="0.2">
      <c r="A564" t="str">
        <f>B564&amp;C564&amp;H564&amp;N564</f>
        <v>35000150DJK-TSV BieringenE-Junioren2</v>
      </c>
      <c r="B564" t="s">
        <v>758</v>
      </c>
      <c r="C564" t="s">
        <v>759</v>
      </c>
      <c r="D564" t="s">
        <v>49</v>
      </c>
      <c r="E564" t="s">
        <v>35</v>
      </c>
      <c r="F564" t="s">
        <v>50</v>
      </c>
      <c r="G564">
        <v>3</v>
      </c>
      <c r="H564" t="s">
        <v>1112</v>
      </c>
      <c r="I564" t="s">
        <v>114</v>
      </c>
      <c r="J564" t="s">
        <v>1269</v>
      </c>
      <c r="K564" t="s">
        <v>1334</v>
      </c>
      <c r="L564" t="s">
        <v>1414</v>
      </c>
      <c r="M564">
        <v>1</v>
      </c>
      <c r="N564">
        <v>2</v>
      </c>
      <c r="O564" t="s">
        <v>1063</v>
      </c>
      <c r="P564" t="s">
        <v>40</v>
      </c>
      <c r="Q564" t="s">
        <v>53</v>
      </c>
      <c r="R564" t="s">
        <v>1094</v>
      </c>
      <c r="S564" t="s">
        <v>1115</v>
      </c>
      <c r="T564" t="s">
        <v>837</v>
      </c>
      <c r="U564" t="s">
        <v>226</v>
      </c>
      <c r="V564" t="s">
        <v>43</v>
      </c>
      <c r="W564" t="s">
        <v>43</v>
      </c>
      <c r="Y564" t="s">
        <v>43</v>
      </c>
      <c r="Z564" t="s">
        <v>45</v>
      </c>
      <c r="AA564" t="s">
        <v>761</v>
      </c>
      <c r="AB564" t="s">
        <v>43</v>
      </c>
      <c r="AC564" t="s">
        <v>43</v>
      </c>
      <c r="AD564" t="s">
        <v>43</v>
      </c>
      <c r="AE564" t="s">
        <v>43</v>
      </c>
      <c r="AF564" t="str">
        <f>AA564</f>
        <v>Sportplatz 1, DJK Bieringen, Max-Eyth-Str., 74214 Schöntal-Bieringen</v>
      </c>
      <c r="AG564" t="str">
        <f>_xlfn.TEXTBEFORE(_xlfn.TEXTAFTER(AF564, ", ", 2), ",")</f>
        <v>Max-Eyth-Str.</v>
      </c>
      <c r="AH564" t="str">
        <f>_xlfn.TEXTBEFORE(_xlfn.TEXTAFTER(AF564, ", ", 3), " ")</f>
        <v>74214</v>
      </c>
      <c r="AI564" t="str">
        <f>_xlfn.TEXTAFTER(_xlfn.TEXTAFTER(AF564, ", ", 3), " ")</f>
        <v>Schöntal-Bieringen</v>
      </c>
    </row>
    <row r="565" spans="1:35" x14ac:dyDescent="0.2">
      <c r="A565" t="str">
        <f>B565&amp;C565&amp;H565&amp;N565</f>
        <v>35000281TSV DörzbachE-Junioren2</v>
      </c>
      <c r="B565" t="s">
        <v>1272</v>
      </c>
      <c r="C565" t="s">
        <v>1273</v>
      </c>
      <c r="D565" t="s">
        <v>49</v>
      </c>
      <c r="E565" t="s">
        <v>35</v>
      </c>
      <c r="F565" t="s">
        <v>50</v>
      </c>
      <c r="G565">
        <v>3</v>
      </c>
      <c r="H565" t="s">
        <v>1112</v>
      </c>
      <c r="I565" t="s">
        <v>114</v>
      </c>
      <c r="J565" t="s">
        <v>1269</v>
      </c>
      <c r="K565" t="s">
        <v>1334</v>
      </c>
      <c r="L565" t="s">
        <v>1414</v>
      </c>
      <c r="M565">
        <v>6</v>
      </c>
      <c r="N565">
        <v>2</v>
      </c>
      <c r="O565" t="s">
        <v>1336</v>
      </c>
      <c r="P565" t="s">
        <v>40</v>
      </c>
      <c r="Q565" t="s">
        <v>53</v>
      </c>
      <c r="R565" t="s">
        <v>1094</v>
      </c>
      <c r="S565" t="s">
        <v>1115</v>
      </c>
      <c r="T565" t="s">
        <v>837</v>
      </c>
      <c r="U565" t="s">
        <v>226</v>
      </c>
      <c r="V565" t="s">
        <v>43</v>
      </c>
      <c r="W565" t="s">
        <v>43</v>
      </c>
      <c r="X565" t="s">
        <v>1337</v>
      </c>
      <c r="Y565" s="4" t="s">
        <v>1275</v>
      </c>
      <c r="Z565" t="s">
        <v>45</v>
      </c>
      <c r="AA565" t="s">
        <v>1066</v>
      </c>
      <c r="AB565" t="s">
        <v>43</v>
      </c>
      <c r="AC565" t="s">
        <v>43</v>
      </c>
      <c r="AD565" t="s">
        <v>43</v>
      </c>
      <c r="AE565" t="s">
        <v>43</v>
      </c>
      <c r="AF565" t="str">
        <f>AA565</f>
        <v>Sportplatz 1, TSV Dörzbach, Meßbacher Str., 74677 Dörzbach-Zentrum</v>
      </c>
      <c r="AG565" t="str">
        <f>_xlfn.TEXTBEFORE(_xlfn.TEXTAFTER(AF565, ", ", 2), ",")</f>
        <v>Meßbacher Str.</v>
      </c>
      <c r="AH565" t="str">
        <f>_xlfn.TEXTBEFORE(_xlfn.TEXTAFTER(AF565, ", ", 3), " ")</f>
        <v>74677</v>
      </c>
      <c r="AI565" t="str">
        <f>_xlfn.TEXTAFTER(_xlfn.TEXTAFTER(AF565, ", ", 3), " ")</f>
        <v>Dörzbach-Zentrum</v>
      </c>
    </row>
    <row r="566" spans="1:35" x14ac:dyDescent="0.2">
      <c r="A566" t="str">
        <f>B566&amp;C566&amp;H566&amp;N566</f>
        <v>35000443SSV GaisbachE-Junioren2</v>
      </c>
      <c r="B566" t="s">
        <v>617</v>
      </c>
      <c r="C566" t="s">
        <v>618</v>
      </c>
      <c r="D566" t="s">
        <v>49</v>
      </c>
      <c r="E566" t="s">
        <v>35</v>
      </c>
      <c r="F566" t="s">
        <v>50</v>
      </c>
      <c r="G566">
        <v>3</v>
      </c>
      <c r="H566" t="s">
        <v>1112</v>
      </c>
      <c r="I566" t="s">
        <v>114</v>
      </c>
      <c r="J566" t="s">
        <v>1269</v>
      </c>
      <c r="K566" t="s">
        <v>1334</v>
      </c>
      <c r="L566" t="s">
        <v>1414</v>
      </c>
      <c r="M566">
        <v>5</v>
      </c>
      <c r="N566">
        <v>2</v>
      </c>
      <c r="O566" t="s">
        <v>1339</v>
      </c>
      <c r="P566" t="s">
        <v>40</v>
      </c>
      <c r="Q566" t="s">
        <v>53</v>
      </c>
      <c r="R566" t="s">
        <v>1094</v>
      </c>
      <c r="S566" t="s">
        <v>1115</v>
      </c>
      <c r="T566" t="s">
        <v>837</v>
      </c>
      <c r="U566" t="s">
        <v>226</v>
      </c>
      <c r="V566" t="s">
        <v>43</v>
      </c>
      <c r="W566" t="s">
        <v>43</v>
      </c>
      <c r="Y566" t="s">
        <v>43</v>
      </c>
      <c r="Z566" t="s">
        <v>45</v>
      </c>
      <c r="AA566" t="s">
        <v>193</v>
      </c>
      <c r="AB566" t="s">
        <v>43</v>
      </c>
      <c r="AC566" t="s">
        <v>43</v>
      </c>
      <c r="AD566" t="s">
        <v>43</v>
      </c>
      <c r="AE566" t="s">
        <v>43</v>
      </c>
      <c r="AF566" t="str">
        <f>AA566</f>
        <v>Kunstrasenplatz SSV Gaisbach, Ballenwasen 4, 74653 Künzelsau-Gaisbach</v>
      </c>
      <c r="AG566" t="str">
        <f>TRIM(MID(AF566, FIND(", ", AF566)+2, FIND(", ", AF566, FIND(", ", AF566)+1) - FIND(", ", AF566) - 2))</f>
        <v>Ballenwasen 4</v>
      </c>
      <c r="AH566" t="str">
        <f>_xlfn.TEXTBEFORE(_xlfn.TEXTAFTER(AF566, ", ", 2), " ")</f>
        <v>74653</v>
      </c>
      <c r="AI566" t="str">
        <f>_xlfn.TEXTAFTER(_xlfn.TEXTAFTER(AF566, ", ", 2), " ")</f>
        <v>Künzelsau-Gaisbach</v>
      </c>
    </row>
    <row r="567" spans="1:35" x14ac:dyDescent="0.2">
      <c r="A567" t="str">
        <f>B567&amp;C567&amp;H567&amp;N567</f>
        <v>35001710VfR GommersdorfE-Junioren2</v>
      </c>
      <c r="B567" t="s">
        <v>90</v>
      </c>
      <c r="C567" t="s">
        <v>91</v>
      </c>
      <c r="D567" t="s">
        <v>49</v>
      </c>
      <c r="E567" t="s">
        <v>35</v>
      </c>
      <c r="F567" t="s">
        <v>50</v>
      </c>
      <c r="G567">
        <v>3</v>
      </c>
      <c r="H567" t="s">
        <v>1112</v>
      </c>
      <c r="I567" t="s">
        <v>114</v>
      </c>
      <c r="J567" t="s">
        <v>1269</v>
      </c>
      <c r="K567" t="s">
        <v>1334</v>
      </c>
      <c r="L567" t="s">
        <v>1414</v>
      </c>
      <c r="M567">
        <v>2</v>
      </c>
      <c r="N567">
        <v>2</v>
      </c>
      <c r="O567" t="s">
        <v>1338</v>
      </c>
      <c r="P567" t="s">
        <v>40</v>
      </c>
      <c r="Q567" t="s">
        <v>40</v>
      </c>
      <c r="R567" t="s">
        <v>1094</v>
      </c>
      <c r="S567" t="s">
        <v>1115</v>
      </c>
      <c r="T567" t="s">
        <v>837</v>
      </c>
      <c r="U567" t="s">
        <v>226</v>
      </c>
      <c r="V567" t="s">
        <v>43</v>
      </c>
      <c r="W567" t="s">
        <v>43</v>
      </c>
      <c r="X567" t="s">
        <v>1284</v>
      </c>
      <c r="Y567" s="4" t="s">
        <v>1285</v>
      </c>
      <c r="Z567" t="s">
        <v>45</v>
      </c>
      <c r="AA567" t="s">
        <v>96</v>
      </c>
      <c r="AB567" t="s">
        <v>43</v>
      </c>
      <c r="AC567" t="s">
        <v>43</v>
      </c>
      <c r="AD567" t="s">
        <v>43</v>
      </c>
      <c r="AE567" t="s">
        <v>43</v>
      </c>
      <c r="AF567" t="str">
        <f>AA567</f>
        <v>VfR Gommersdorf - Dieter-Gärtner-Arena 2, Stichele 1, 74238 Krautheim-Gommersdorf</v>
      </c>
      <c r="AG567" t="str">
        <f>TRIM(MID(AF567, FIND(", ", AF567)+2, FIND(", ", AF567, FIND(", ", AF567)+1) - FIND(", ", AF567) - 2))</f>
        <v>Stichele 1</v>
      </c>
      <c r="AH567" t="str">
        <f>_xlfn.TEXTBEFORE(_xlfn.TEXTAFTER(AF567, ", ", 2), " ")</f>
        <v>74238</v>
      </c>
      <c r="AI567" t="str">
        <f>_xlfn.TEXTAFTER(_xlfn.TEXTAFTER(AF567, ", ", 2), " ")</f>
        <v>Krautheim-Gommersdorf</v>
      </c>
    </row>
    <row r="568" spans="1:35" x14ac:dyDescent="0.2">
      <c r="A568" t="str">
        <f>B568&amp;C568&amp;H568&amp;N568</f>
        <v>35002159FV KünzelsauE-Junioren2</v>
      </c>
      <c r="B568" t="s">
        <v>537</v>
      </c>
      <c r="C568" t="s">
        <v>538</v>
      </c>
      <c r="D568" t="s">
        <v>49</v>
      </c>
      <c r="E568" t="s">
        <v>35</v>
      </c>
      <c r="F568" t="s">
        <v>50</v>
      </c>
      <c r="G568">
        <v>3</v>
      </c>
      <c r="H568" t="s">
        <v>1112</v>
      </c>
      <c r="I568" t="s">
        <v>114</v>
      </c>
      <c r="J568" t="s">
        <v>1269</v>
      </c>
      <c r="K568" t="s">
        <v>1334</v>
      </c>
      <c r="L568" t="s">
        <v>1414</v>
      </c>
      <c r="M568">
        <v>3</v>
      </c>
      <c r="N568">
        <v>2</v>
      </c>
      <c r="O568" t="s">
        <v>1084</v>
      </c>
      <c r="P568" t="s">
        <v>40</v>
      </c>
      <c r="Q568" t="s">
        <v>53</v>
      </c>
      <c r="R568" t="s">
        <v>1094</v>
      </c>
      <c r="S568" t="s">
        <v>1115</v>
      </c>
      <c r="T568" t="s">
        <v>837</v>
      </c>
      <c r="U568" t="s">
        <v>226</v>
      </c>
      <c r="V568" t="s">
        <v>43</v>
      </c>
      <c r="W568" t="s">
        <v>43</v>
      </c>
      <c r="Y568" t="s">
        <v>43</v>
      </c>
      <c r="Z568" t="s">
        <v>45</v>
      </c>
      <c r="AA568" t="s">
        <v>541</v>
      </c>
      <c r="AB568" t="s">
        <v>43</v>
      </c>
      <c r="AC568" t="s">
        <v>43</v>
      </c>
      <c r="AD568" t="s">
        <v>43</v>
      </c>
      <c r="AE568" t="s">
        <v>43</v>
      </c>
      <c r="AF568" t="str">
        <f>AA568</f>
        <v>Kunstrasenplatz FV Künzelsau, Hallstattweg 36, 74653 Künzelsau-Zentrum</v>
      </c>
      <c r="AG568" t="str">
        <f>TRIM(MID(AF568, FIND(", ", AF568)+2, FIND(", ", AF568, FIND(", ", AF568)+1) - FIND(", ", AF568) - 2))</f>
        <v>Hallstattweg 36</v>
      </c>
      <c r="AH568" t="str">
        <f>_xlfn.TEXTBEFORE(_xlfn.TEXTAFTER(AF568, ", ", 2), " ")</f>
        <v>74653</v>
      </c>
      <c r="AI568" t="str">
        <f>_xlfn.TEXTAFTER(_xlfn.TEXTAFTER(AF568, ", ", 2), " ")</f>
        <v>Künzelsau-Zentrum</v>
      </c>
    </row>
    <row r="569" spans="1:35" x14ac:dyDescent="0.2">
      <c r="A569" t="str">
        <f>B569&amp;C569&amp;H569&amp;N569</f>
        <v>35000924TSV NeuensteinE-Junioren2</v>
      </c>
      <c r="B569" t="s">
        <v>527</v>
      </c>
      <c r="C569" t="s">
        <v>528</v>
      </c>
      <c r="D569" t="s">
        <v>66</v>
      </c>
      <c r="E569" t="s">
        <v>35</v>
      </c>
      <c r="F569" t="s">
        <v>50</v>
      </c>
      <c r="G569">
        <v>3</v>
      </c>
      <c r="H569" t="s">
        <v>1112</v>
      </c>
      <c r="I569" t="s">
        <v>114</v>
      </c>
      <c r="J569" t="s">
        <v>1269</v>
      </c>
      <c r="K569" t="s">
        <v>1340</v>
      </c>
      <c r="L569" t="s">
        <v>1415</v>
      </c>
      <c r="M569">
        <v>2</v>
      </c>
      <c r="N569">
        <v>2</v>
      </c>
      <c r="O569" t="s">
        <v>1108</v>
      </c>
      <c r="P569" t="s">
        <v>40</v>
      </c>
      <c r="Q569" t="s">
        <v>53</v>
      </c>
      <c r="R569" t="s">
        <v>1094</v>
      </c>
      <c r="S569" t="s">
        <v>1115</v>
      </c>
      <c r="T569" t="s">
        <v>837</v>
      </c>
      <c r="U569" t="s">
        <v>226</v>
      </c>
      <c r="V569" t="s">
        <v>43</v>
      </c>
      <c r="W569" t="s">
        <v>43</v>
      </c>
      <c r="Y569" t="s">
        <v>43</v>
      </c>
      <c r="Z569" t="s">
        <v>45</v>
      </c>
      <c r="AA569" t="s">
        <v>919</v>
      </c>
      <c r="AB569" t="s">
        <v>43</v>
      </c>
      <c r="AC569" t="s">
        <v>43</v>
      </c>
      <c r="AD569" t="s">
        <v>43</v>
      </c>
      <c r="AE569" t="s">
        <v>43</v>
      </c>
      <c r="AF569" t="str">
        <f>AA569</f>
        <v>Sportplatz 2 TSV Neuenstein, Öhringer Str., 74632 Neuenstein-Zentrum</v>
      </c>
      <c r="AG569" t="str">
        <f>TRIM(MID(AF569, FIND(", ", AF569)+2, FIND(", ", AF569, FIND(", ", AF569)+1) - FIND(", ", AF569) - 2))</f>
        <v>Öhringer Str.</v>
      </c>
      <c r="AH569" t="str">
        <f>_xlfn.TEXTBEFORE(_xlfn.TEXTAFTER(AF569, ", ", 2), " ")</f>
        <v>74632</v>
      </c>
      <c r="AI569" t="str">
        <f>_xlfn.TEXTAFTER(_xlfn.TEXTAFTER(AF569, ", ", 2), " ")</f>
        <v>Neuenstein-Zentrum</v>
      </c>
    </row>
    <row r="570" spans="1:35" x14ac:dyDescent="0.2">
      <c r="A570" t="str">
        <f>B570&amp;C570&amp;H570&amp;N570</f>
        <v>35001044TSV PfedelbachE-Junioren3</v>
      </c>
      <c r="B570" t="s">
        <v>425</v>
      </c>
      <c r="C570" t="s">
        <v>426</v>
      </c>
      <c r="D570" t="s">
        <v>66</v>
      </c>
      <c r="E570" t="s">
        <v>35</v>
      </c>
      <c r="F570" t="s">
        <v>50</v>
      </c>
      <c r="G570">
        <v>3</v>
      </c>
      <c r="H570" t="s">
        <v>1112</v>
      </c>
      <c r="I570" t="s">
        <v>114</v>
      </c>
      <c r="J570" t="s">
        <v>1269</v>
      </c>
      <c r="K570" t="s">
        <v>1340</v>
      </c>
      <c r="L570" t="s">
        <v>1415</v>
      </c>
      <c r="M570">
        <v>3</v>
      </c>
      <c r="N570">
        <v>3</v>
      </c>
      <c r="O570" t="s">
        <v>1345</v>
      </c>
      <c r="P570" t="s">
        <v>40</v>
      </c>
      <c r="Q570" t="s">
        <v>53</v>
      </c>
      <c r="R570" t="s">
        <v>1094</v>
      </c>
      <c r="S570" t="s">
        <v>1115</v>
      </c>
      <c r="T570" t="s">
        <v>837</v>
      </c>
      <c r="U570" t="s">
        <v>226</v>
      </c>
      <c r="V570" t="s">
        <v>43</v>
      </c>
      <c r="W570" t="s">
        <v>43</v>
      </c>
      <c r="Y570" t="s">
        <v>43</v>
      </c>
      <c r="Z570" t="s">
        <v>45</v>
      </c>
      <c r="AA570" t="s">
        <v>431</v>
      </c>
      <c r="AB570" t="s">
        <v>43</v>
      </c>
      <c r="AC570" t="s">
        <v>43</v>
      </c>
      <c r="AD570" t="s">
        <v>43</v>
      </c>
      <c r="AE570" t="s">
        <v>43</v>
      </c>
      <c r="AF570" t="str">
        <f>AA570</f>
        <v>Sportplatz TSV Pfedelbach , Hohenlohe Allee 9, 74629 Pfedelbach-Zentrum</v>
      </c>
      <c r="AG570" t="str">
        <f>TRIM(MID(AF570, FIND(", ", AF570)+2, FIND(", ", AF570, FIND(", ", AF570)+1) - FIND(", ", AF570) - 2))</f>
        <v>Hohenlohe Allee 9</v>
      </c>
      <c r="AH570" t="str">
        <f>_xlfn.TEXTBEFORE(_xlfn.TEXTAFTER(AF570, ", ", 2), " ")</f>
        <v>74629</v>
      </c>
      <c r="AI570" t="str">
        <f>_xlfn.TEXTAFTER(_xlfn.TEXTAFTER(AF570, ", ", 2), " ")</f>
        <v>Pfedelbach-Zentrum</v>
      </c>
    </row>
    <row r="571" spans="1:35" x14ac:dyDescent="0.2">
      <c r="A571" t="str">
        <f>B571&amp;C571&amp;H571&amp;N571</f>
        <v>35001163SG Sindringen/ErnsbachE-Junioren4</v>
      </c>
      <c r="B571" t="s">
        <v>1286</v>
      </c>
      <c r="C571" t="s">
        <v>1287</v>
      </c>
      <c r="D571" t="s">
        <v>66</v>
      </c>
      <c r="E571" t="s">
        <v>35</v>
      </c>
      <c r="F571" t="s">
        <v>50</v>
      </c>
      <c r="G571">
        <v>3</v>
      </c>
      <c r="H571" t="s">
        <v>1112</v>
      </c>
      <c r="I571" t="s">
        <v>114</v>
      </c>
      <c r="J571" t="s">
        <v>1269</v>
      </c>
      <c r="K571" t="s">
        <v>1340</v>
      </c>
      <c r="L571" t="s">
        <v>1415</v>
      </c>
      <c r="M571">
        <v>6</v>
      </c>
      <c r="N571">
        <v>4</v>
      </c>
      <c r="O571" t="s">
        <v>1342</v>
      </c>
      <c r="P571" t="s">
        <v>40</v>
      </c>
      <c r="Q571" t="s">
        <v>53</v>
      </c>
      <c r="R571" t="s">
        <v>1094</v>
      </c>
      <c r="S571" t="s">
        <v>1115</v>
      </c>
      <c r="T571" t="s">
        <v>837</v>
      </c>
      <c r="U571" s="2" t="s">
        <v>226</v>
      </c>
      <c r="V571" t="s">
        <v>43</v>
      </c>
      <c r="W571" t="s">
        <v>43</v>
      </c>
      <c r="X571" t="s">
        <v>1337</v>
      </c>
      <c r="Y571" s="4" t="s">
        <v>1343</v>
      </c>
      <c r="Z571" t="s">
        <v>45</v>
      </c>
      <c r="AA571" t="s">
        <v>534</v>
      </c>
      <c r="AB571" t="s">
        <v>43</v>
      </c>
      <c r="AC571" t="s">
        <v>43</v>
      </c>
      <c r="AD571" t="s">
        <v>43</v>
      </c>
      <c r="AE571" t="s">
        <v>43</v>
      </c>
      <c r="AF571" t="str">
        <f>AA571</f>
        <v>Sportplatz Niedernhall, Brückenwiesenweg, 74676 Niedernhall</v>
      </c>
      <c r="AG571" t="str">
        <f>TRIM(MID(AF571, FIND(", ", AF571)+2, FIND(", ", AF571, FIND(", ", AF571)+1) - FIND(", ", AF571) - 2))</f>
        <v>Brückenwiesenweg</v>
      </c>
      <c r="AH571" t="str">
        <f>_xlfn.TEXTBEFORE(_xlfn.TEXTAFTER(AF571, ", ", 2), " ")</f>
        <v>74676</v>
      </c>
      <c r="AI571" t="str">
        <f>_xlfn.TEXTAFTER(_xlfn.TEXTAFTER(AF571, ", ", 2), " ")</f>
        <v>Niedernhall</v>
      </c>
    </row>
    <row r="572" spans="1:35" x14ac:dyDescent="0.2">
      <c r="A572" t="str">
        <f>B572&amp;C572&amp;H572&amp;N572</f>
        <v>35001560TSV ZweiflingenE-Junioren3</v>
      </c>
      <c r="B572" t="s">
        <v>794</v>
      </c>
      <c r="C572" t="s">
        <v>795</v>
      </c>
      <c r="D572" t="s">
        <v>66</v>
      </c>
      <c r="E572" t="s">
        <v>35</v>
      </c>
      <c r="F572" t="s">
        <v>50</v>
      </c>
      <c r="G572">
        <v>3</v>
      </c>
      <c r="H572" t="s">
        <v>1112</v>
      </c>
      <c r="I572" t="s">
        <v>114</v>
      </c>
      <c r="J572" t="s">
        <v>1269</v>
      </c>
      <c r="K572" t="s">
        <v>1340</v>
      </c>
      <c r="L572" t="s">
        <v>1415</v>
      </c>
      <c r="M572">
        <v>1</v>
      </c>
      <c r="N572">
        <v>3</v>
      </c>
      <c r="O572" t="s">
        <v>1346</v>
      </c>
      <c r="P572" t="s">
        <v>40</v>
      </c>
      <c r="Q572" t="s">
        <v>53</v>
      </c>
      <c r="R572" t="s">
        <v>1094</v>
      </c>
      <c r="S572" t="s">
        <v>1115</v>
      </c>
      <c r="T572" t="s">
        <v>837</v>
      </c>
      <c r="U572" t="s">
        <v>226</v>
      </c>
      <c r="V572" t="s">
        <v>43</v>
      </c>
      <c r="W572" t="s">
        <v>43</v>
      </c>
      <c r="Y572" t="s">
        <v>43</v>
      </c>
      <c r="Z572" t="s">
        <v>45</v>
      </c>
      <c r="AA572" t="s">
        <v>797</v>
      </c>
      <c r="AB572" t="s">
        <v>43</v>
      </c>
      <c r="AC572" t="s">
        <v>43</v>
      </c>
      <c r="AD572" t="s">
        <v>43</v>
      </c>
      <c r="AE572" t="s">
        <v>43</v>
      </c>
      <c r="AF572" t="str">
        <f>AA572</f>
        <v>Sportplatz 1 TSV Zweiflingen, Bei der Sporthalle, 74639 Zweiflingen</v>
      </c>
      <c r="AG572" t="str">
        <f>TRIM(MID(AF572, FIND(", ", AF572)+2, FIND(", ", AF572, FIND(", ", AF572)+1) - FIND(", ", AF572) - 2))</f>
        <v>Bei der Sporthalle</v>
      </c>
      <c r="AH572" t="str">
        <f>_xlfn.TEXTBEFORE(_xlfn.TEXTAFTER(AF572, ", ", 2), " ")</f>
        <v>74639</v>
      </c>
      <c r="AI572" t="str">
        <f>_xlfn.TEXTAFTER(_xlfn.TEXTAFTER(AF572, ", ", 2), " ")</f>
        <v>Zweiflingen</v>
      </c>
    </row>
    <row r="573" spans="1:35" x14ac:dyDescent="0.2">
      <c r="A573" t="str">
        <f>B573&amp;C573&amp;H573&amp;N573</f>
        <v>35000150DJK-TSV BieringenE-Junioren3</v>
      </c>
      <c r="B573" t="s">
        <v>758</v>
      </c>
      <c r="C573" t="s">
        <v>759</v>
      </c>
      <c r="D573" t="s">
        <v>49</v>
      </c>
      <c r="E573" t="s">
        <v>35</v>
      </c>
      <c r="F573" t="s">
        <v>50</v>
      </c>
      <c r="G573">
        <v>3</v>
      </c>
      <c r="H573" t="s">
        <v>1112</v>
      </c>
      <c r="I573" t="s">
        <v>114</v>
      </c>
      <c r="J573" t="s">
        <v>1269</v>
      </c>
      <c r="K573" t="s">
        <v>1340</v>
      </c>
      <c r="L573" t="s">
        <v>1415</v>
      </c>
      <c r="M573">
        <v>4</v>
      </c>
      <c r="N573">
        <v>3</v>
      </c>
      <c r="O573" t="s">
        <v>1341</v>
      </c>
      <c r="P573" t="s">
        <v>40</v>
      </c>
      <c r="Q573" t="s">
        <v>53</v>
      </c>
      <c r="R573" t="s">
        <v>1094</v>
      </c>
      <c r="S573" t="s">
        <v>1115</v>
      </c>
      <c r="T573" t="s">
        <v>837</v>
      </c>
      <c r="U573" t="s">
        <v>226</v>
      </c>
      <c r="V573" t="s">
        <v>43</v>
      </c>
      <c r="W573" t="s">
        <v>43</v>
      </c>
      <c r="Y573" t="s">
        <v>43</v>
      </c>
      <c r="Z573" t="s">
        <v>45</v>
      </c>
      <c r="AA573" t="s">
        <v>761</v>
      </c>
      <c r="AB573" t="s">
        <v>43</v>
      </c>
      <c r="AC573" t="s">
        <v>43</v>
      </c>
      <c r="AD573" t="s">
        <v>43</v>
      </c>
      <c r="AE573" t="s">
        <v>43</v>
      </c>
      <c r="AF573" t="str">
        <f>AA573</f>
        <v>Sportplatz 1, DJK Bieringen, Max-Eyth-Str., 74214 Schöntal-Bieringen</v>
      </c>
      <c r="AG573" t="str">
        <f>_xlfn.TEXTBEFORE(_xlfn.TEXTAFTER(AF573, ", ", 2), ",")</f>
        <v>Max-Eyth-Str.</v>
      </c>
      <c r="AH573" t="str">
        <f>_xlfn.TEXTBEFORE(_xlfn.TEXTAFTER(AF573, ", ", 3), " ")</f>
        <v>74214</v>
      </c>
      <c r="AI573" t="str">
        <f>_xlfn.TEXTAFTER(_xlfn.TEXTAFTER(AF573, ", ", 3), " ")</f>
        <v>Schöntal-Bieringen</v>
      </c>
    </row>
    <row r="574" spans="1:35" x14ac:dyDescent="0.2">
      <c r="A574" t="str">
        <f>B574&amp;C574&amp;H574&amp;N574</f>
        <v>35000671TSV IngelfingenE-Junioren2</v>
      </c>
      <c r="B574" t="s">
        <v>421</v>
      </c>
      <c r="C574" t="s">
        <v>422</v>
      </c>
      <c r="D574" t="s">
        <v>49</v>
      </c>
      <c r="E574" t="s">
        <v>35</v>
      </c>
      <c r="F574" t="s">
        <v>50</v>
      </c>
      <c r="G574">
        <v>3</v>
      </c>
      <c r="H574" t="s">
        <v>1112</v>
      </c>
      <c r="I574" t="s">
        <v>114</v>
      </c>
      <c r="J574" t="s">
        <v>1269</v>
      </c>
      <c r="K574" t="s">
        <v>1340</v>
      </c>
      <c r="L574" t="s">
        <v>1415</v>
      </c>
      <c r="M574">
        <v>5</v>
      </c>
      <c r="N574">
        <v>2</v>
      </c>
      <c r="O574" t="s">
        <v>1344</v>
      </c>
      <c r="P574" t="s">
        <v>40</v>
      </c>
      <c r="Q574" t="s">
        <v>53</v>
      </c>
      <c r="R574" t="s">
        <v>1094</v>
      </c>
      <c r="S574" t="s">
        <v>1115</v>
      </c>
      <c r="T574" t="s">
        <v>837</v>
      </c>
      <c r="U574" t="s">
        <v>226</v>
      </c>
      <c r="V574" t="s">
        <v>43</v>
      </c>
      <c r="W574" t="s">
        <v>43</v>
      </c>
      <c r="X574" t="s">
        <v>1337</v>
      </c>
      <c r="Y574" s="4" t="s">
        <v>1296</v>
      </c>
      <c r="Z574" t="s">
        <v>45</v>
      </c>
      <c r="AA574" t="s">
        <v>1297</v>
      </c>
      <c r="AB574" t="s">
        <v>43</v>
      </c>
      <c r="AC574" t="s">
        <v>43</v>
      </c>
      <c r="AD574" t="s">
        <v>43</v>
      </c>
      <c r="AE574" t="s">
        <v>43</v>
      </c>
      <c r="AF574" t="str">
        <f>AA574</f>
        <v>Sportplatz am Kocher, Nagelsberg, Würzburger Str. 44, 74653 Künzelsau-Nagelsberg</v>
      </c>
      <c r="AG574" t="str">
        <f>_xlfn.TEXTBEFORE(_xlfn.TEXTAFTER(AF574, ", ", 2), ",")</f>
        <v>Würzburger Str. 44</v>
      </c>
      <c r="AH574" t="str">
        <f>_xlfn.TEXTBEFORE(_xlfn.TEXTAFTER(AF574, ", ", 3), " ")</f>
        <v>74653</v>
      </c>
      <c r="AI574" t="str">
        <f>_xlfn.TEXTAFTER(_xlfn.TEXTAFTER(AF574, ", ", 3), " ")</f>
        <v>Künzelsau-Nagelsberg</v>
      </c>
    </row>
  </sheetData>
  <autoFilter ref="A3:AI574" xr:uid="{55B29F1F-5466-40D2-A01B-9A680754C855}"/>
  <sortState xmlns:xlrd2="http://schemas.microsoft.com/office/spreadsheetml/2017/richdata2" ref="B4:AI574">
    <sortCondition ref="H4:H574" customList="A-Junioren,B-Junioren,C-Junioren,D-Junioren,E-Junioren,B-Juniorinnen,C-Juniorinnen,D-Juniorinnen,E-Juniorinnen,F-Junioren,G-Junioren"/>
    <sortCondition ref="J4:J574" customList="A VS,A LaS,A RS,A LS,A KS,B VS,B LaS,B LS,B RS,B KS,C OL,C VS,C LaS,C RS,C LS,C KS,D VS,D BS,D LS,D UL KS,D HL KS,D KS 7er,E UL KS,E HL KS,F,G"/>
    <sortCondition ref="K4:K574"/>
    <sortCondition ref="D4:D574" customList="Heilbronn,Kocher/Jagst,Öhringen,Künzelsau,Mergentheim,Crailsheim,Schwäbisch Hall"/>
    <sortCondition ref="B4:B574"/>
  </sortState>
  <pageMargins left="0.78740157499999996" right="0.78740157499999996" top="0.984251969" bottom="0.984251969"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Erweiterte Meldedaten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Jochen Thalacker</dc:creator>
  <cp:lastModifiedBy>Jochen Thalacker</cp:lastModifiedBy>
  <dcterms:created xsi:type="dcterms:W3CDTF">2026-04-11T15:46:06Z</dcterms:created>
  <dcterms:modified xsi:type="dcterms:W3CDTF">2026-04-12T09:10:05Z</dcterms:modified>
</cp:coreProperties>
</file>